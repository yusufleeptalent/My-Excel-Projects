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67" documentId="11_2779F9B2FCDC5B6E264834899AD3CC78A628D2C5" xr6:coauthVersionLast="47" xr6:coauthVersionMax="47" xr10:uidLastSave="{3B57C641-CFDF-4BEC-9B35-6965780C7893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4" i="1" a="1"/>
  <c r="F4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<sst xmlns="http://schemas.openxmlformats.org/spreadsheetml/2006/main" count="53" uniqueCount="53">
  <si>
    <t>Biggest Atlantic Hurricanes</t>
  </si>
  <si>
    <t>Name</t>
  </si>
  <si>
    <t>Start Date</t>
  </si>
  <si>
    <t>Damage 
(USD 
Millions)</t>
  </si>
  <si>
    <t>Category*</t>
  </si>
  <si>
    <t>Max 
Wind 
Speed</t>
  </si>
  <si>
    <t>IFS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</si>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</sst>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9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3" fillId="0" borderId="1" xfId="3" applyAlignment="1"/>
    <xf numFmtId="0" fontId="0" fillId="0" borderId="0" xfId="0" applyFill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3" workbookViewId="0">
      <selection activeCell="F27" sqref="F27"/>
    </sheetView>
  </sheetViews>
  <sheetFormatPr defaultRowHeight="15"/>
  <cols>
    <col min="1" max="1" width="18.7109375" customWidth="1"/>
    <col min="2" max="2" width="22.42578125" bestFit="1" customWidth="1"/>
    <col min="3" max="3" width="22" bestFit="1" customWidth="1"/>
    <col min="4" max="4" width="9.85546875" bestFit="1" customWidth="1"/>
    <col min="5" max="5" width="20.42578125" customWidth="1"/>
    <col min="6" max="6" width="12.5703125" style="8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7" t="s">
        <v>3</v>
      </c>
      <c r="D3" s="5" t="s">
        <v>4</v>
      </c>
      <c r="E3" s="7" t="s">
        <v>5</v>
      </c>
      <c r="F3" s="8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 xml:space="preserve"> _xlfn.SWITCH(D4, $H$6,$I$6,$H$7,$I$7,$H$8,$I$8,$H$9,$I$9,$H$10,$I$10, "No match")</f>
        <v>129</v>
      </c>
      <c r="F4" s="8" cm="1">
        <f t="array" ref="F4">_xlfn.IFS(D4=$H$6, $I$6, D4=$H$7, $I$7, D4=$H$8,$I$8, D4=$H$9, $I$9, D4=$H$10, $I$10, D4&gt;5, "No match")</f>
        <v>129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 xml:space="preserve"> _xlfn.SWITCH(D5, $H$6,$I$6,$H$7,$I$7,$H$8,$I$8,$H$9,$I$9,$H$10,$I$10, "No match")</f>
        <v>129</v>
      </c>
      <c r="F5" s="8" cm="1">
        <f t="array" ref="F5">_xlfn.IFS(D5=$H$6, $I$6, D5=$H$7, $I$7, D5=$H$8,$I$8, D5=$H$9, $I$9, D5=$H$10, $I$10, D5&gt;5, "No match")</f>
        <v>129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 xml:space="preserve"> _xlfn.SWITCH(D6, $H$6,$I$6,$H$7,$I$7,$H$8,$I$8,$H$9,$I$9,$H$10,$I$10, "No match")</f>
        <v>156</v>
      </c>
      <c r="F6" s="8" cm="1">
        <f t="array" ref="F6">_xlfn.IFS(D6=$H$6, $I$6, D6=$H$7, $I$7, D6=$H$8,$I$8, D6=$H$9, $I$9, D6=$H$10, $I$10, D6&gt;5, "No match")</f>
        <v>156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 xml:space="preserve"> _xlfn.SWITCH(D7, $H$6,$I$6,$H$7,$I$7,$H$8,$I$8,$H$9,$I$9,$H$10,$I$10, "No match")</f>
        <v>156</v>
      </c>
      <c r="F7" s="8" cm="1">
        <f t="array" ref="F7">_xlfn.IFS(D7=$H$6, $I$6, D7=$H$7, $I$7, D7=$H$8,$I$8, D7=$H$9, $I$9, D7=$H$10, $I$10, D7&gt;5, "No match")</f>
        <v>156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 xml:space="preserve"> _xlfn.SWITCH(D8, $H$6,$I$6,$H$7,$I$7,$H$8,$I$8,$H$9,$I$9,$H$10,$I$10, "No match")</f>
        <v>156</v>
      </c>
      <c r="F8" s="8" cm="1">
        <f t="array" ref="F8">_xlfn.IFS(D8=$H$6, $I$6, D8=$H$7, $I$7, D8=$H$8,$I$8, D8=$H$9, $I$9, D8=$H$10, $I$10, D8&gt;5, "No match")</f>
        <v>156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 xml:space="preserve"> _xlfn.SWITCH(D9, $H$6,$I$6,$H$7,$I$7,$H$8,$I$8,$H$9,$I$9,$H$10,$I$10, "No match")</f>
        <v>129</v>
      </c>
      <c r="F9" s="8" cm="1">
        <f t="array" ref="F9">_xlfn.IFS(D9=$H$6, $I$6, D9=$H$7, $I$7, D9=$H$8,$I$8, D9=$H$9, $I$9, D9=$H$10, $I$10, D9&gt;5, "No match")</f>
        <v>129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 xml:space="preserve"> _xlfn.SWITCH(D10, $H$6,$I$6,$H$7,$I$7,$H$8,$I$8,$H$9,$I$9,$H$10,$I$10, "No match")</f>
        <v>157 and over</v>
      </c>
      <c r="F10" s="8" t="str" cm="1">
        <f t="array" ref="F10">_xlfn.IFS(D10=$H$6, $I$6, D10=$H$7, $I$7, D10=$H$8,$I$8, D10=$H$9, $I$9, D10=$H$10, $I$10, D10&gt;5, "No match")</f>
        <v>157 and over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 xml:space="preserve"> _xlfn.SWITCH(D11, $H$6,$I$6,$H$7,$I$7,$H$8,$I$8,$H$9,$I$9,$H$10,$I$10, "No match")</f>
        <v>156</v>
      </c>
      <c r="F11" s="8" cm="1">
        <f t="array" ref="F11">_xlfn.IFS(D11=$H$6, $I$6, D11=$H$7, $I$7, D11=$H$8,$I$8, D11=$H$9, $I$9, D11=$H$10, $I$10, D11&gt;5, "No match")</f>
        <v>156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 xml:space="preserve"> _xlfn.SWITCH(D12, $H$6,$I$6,$H$7,$I$7,$H$8,$I$8,$H$9,$I$9,$H$10,$I$10, "No match")</f>
        <v>156</v>
      </c>
      <c r="F12" s="8" cm="1">
        <f t="array" ref="F12">_xlfn.IFS(D12=$H$6, $I$6, D12=$H$7, $I$7, D12=$H$8,$I$8, D12=$H$9, $I$9, D12=$H$10, $I$10, D12&gt;5, "No match")</f>
        <v>156</v>
      </c>
    </row>
    <row r="13" spans="1:9">
      <c r="A13" t="s">
        <v>29</v>
      </c>
      <c r="B13" t="s">
        <v>30</v>
      </c>
      <c r="C13" s="3">
        <v>40</v>
      </c>
      <c r="D13">
        <v>5</v>
      </c>
      <c r="E13" s="6" t="str" cm="1">
        <f t="array" ref="E13" xml:space="preserve"> _xlfn.SWITCH(D13, $H$6,$I$6,$H$7,$I$7,$H$8,$I$8,$H$9,$I$9,$H$10,$I$10, "No match")</f>
        <v>157 and over</v>
      </c>
      <c r="F13" s="8" t="str" cm="1">
        <f t="array" ref="F13">_xlfn.IFS(D13=$H$6, $I$6, D13=$H$7, $I$7, D13=$H$8,$I$8, D13=$H$9, $I$9, D13=$H$10, $I$10, D13&gt;5, "No match")</f>
        <v>157 and over</v>
      </c>
    </row>
    <row r="14" spans="1:9">
      <c r="A14" t="s">
        <v>31</v>
      </c>
      <c r="B14" t="s">
        <v>32</v>
      </c>
      <c r="C14" s="3">
        <v>2.6</v>
      </c>
      <c r="D14">
        <v>2</v>
      </c>
      <c r="E14" s="6" cm="1">
        <f t="array" ref="E14" xml:space="preserve"> _xlfn.SWITCH(D14, $H$6,$I$6,$H$7,$I$7,$H$8,$I$8,$H$9,$I$9,$H$10,$I$10, "No match")</f>
        <v>110</v>
      </c>
      <c r="F14" s="8" cm="1">
        <f t="array" ref="F14">_xlfn.IFS(D14=$H$6, $I$6, D14=$H$7, $I$7, D14=$H$8,$I$8, D14=$H$9, $I$9, D14=$H$10, $I$10, D14&gt;5, "No match")</f>
        <v>110</v>
      </c>
    </row>
    <row r="15" spans="1:9">
      <c r="A15" t="s">
        <v>33</v>
      </c>
      <c r="B15" t="s">
        <v>34</v>
      </c>
      <c r="C15" s="3">
        <v>16</v>
      </c>
      <c r="D15">
        <v>1</v>
      </c>
      <c r="E15" s="6" cm="1">
        <f t="array" ref="E15" xml:space="preserve"> _xlfn.SWITCH(D15, $H$6,$I$6,$H$7,$I$7,$H$8,$I$8,$H$9,$I$9,$H$10,$I$10, "No match")</f>
        <v>95</v>
      </c>
      <c r="F15" s="8" cm="1">
        <f t="array" ref="F15">_xlfn.IFS(D15=$H$6, $I$6, D15=$H$7, $I$7, D15=$H$8,$I$8, D15=$H$9, $I$9, D15=$H$10, $I$10, D15&gt;5, "No match")</f>
        <v>95</v>
      </c>
    </row>
    <row r="16" spans="1:9">
      <c r="A16" t="s">
        <v>35</v>
      </c>
      <c r="B16" t="s">
        <v>36</v>
      </c>
      <c r="C16" s="3">
        <v>529</v>
      </c>
      <c r="D16">
        <v>4</v>
      </c>
      <c r="E16" s="6" cm="1">
        <f t="array" ref="E16" xml:space="preserve"> _xlfn.SWITCH(D16, $H$6,$I$6,$H$7,$I$7,$H$8,$I$8,$H$9,$I$9,$H$10,$I$10, "No match")</f>
        <v>156</v>
      </c>
      <c r="F16" s="8" cm="1">
        <f t="array" ref="F16">_xlfn.IFS(D16=$H$6, $I$6, D16=$H$7, $I$7, D16=$H$8,$I$8, D16=$H$9, $I$9, D16=$H$10, $I$10, D16&gt;5, "No match")</f>
        <v>156</v>
      </c>
    </row>
    <row r="17" spans="1:6">
      <c r="A17" t="s">
        <v>37</v>
      </c>
      <c r="B17" t="s">
        <v>38</v>
      </c>
      <c r="C17" s="3">
        <v>1800</v>
      </c>
      <c r="D17">
        <v>2</v>
      </c>
      <c r="E17" s="6" cm="1">
        <f t="array" ref="E17" xml:space="preserve"> _xlfn.SWITCH(D17, $H$6,$I$6,$H$7,$I$7,$H$8,$I$8,$H$9,$I$9,$H$10,$I$10, "No match")</f>
        <v>110</v>
      </c>
      <c r="F17" s="8" cm="1">
        <f t="array" ref="F17">_xlfn.IFS(D17=$H$6, $I$6, D17=$H$7, $I$7, D17=$H$8,$I$8, D17=$H$9, $I$9, D17=$H$10, $I$10, D17&gt;5, "No match")</f>
        <v>110</v>
      </c>
    </row>
    <row r="18" spans="1:6">
      <c r="A18" t="s">
        <v>39</v>
      </c>
      <c r="B18" t="s">
        <v>40</v>
      </c>
      <c r="C18" s="3">
        <v>1540</v>
      </c>
      <c r="D18">
        <v>5</v>
      </c>
      <c r="E18" s="6" t="str" cm="1">
        <f t="array" ref="E18" xml:space="preserve"> _xlfn.SWITCH(D18, $H$6,$I$6,$H$7,$I$7,$H$8,$I$8,$H$9,$I$9,$H$10,$I$10, "No match")</f>
        <v>157 and over</v>
      </c>
      <c r="F18" s="8" t="str" cm="1">
        <f t="array" ref="F18">_xlfn.IFS(D18=$H$6, $I$6, D18=$H$7, $I$7, D18=$H$8,$I$8, D18=$H$9, $I$9, D18=$H$10, $I$10, D18&gt;5, "No match")</f>
        <v>157 and over</v>
      </c>
    </row>
    <row r="19" spans="1:6">
      <c r="A19" t="s">
        <v>41</v>
      </c>
      <c r="B19" t="s">
        <v>42</v>
      </c>
      <c r="C19" s="3">
        <v>594</v>
      </c>
      <c r="D19">
        <v>1</v>
      </c>
      <c r="E19" s="6" cm="1">
        <f t="array" ref="E19" xml:space="preserve"> _xlfn.SWITCH(D19, $H$6,$I$6,$H$7,$I$7,$H$8,$I$8,$H$9,$I$9,$H$10,$I$10, "No match")</f>
        <v>95</v>
      </c>
      <c r="F19" s="8" cm="1">
        <f t="array" ref="F19">_xlfn.IFS(D19=$H$6, $I$6, D19=$H$7, $I$7, D19=$H$8,$I$8, D19=$H$9, $I$9, D19=$H$10, $I$10, D19&gt;5, "No match")</f>
        <v>95</v>
      </c>
    </row>
    <row r="20" spans="1:6">
      <c r="A20" t="s">
        <v>43</v>
      </c>
      <c r="B20" t="s">
        <v>44</v>
      </c>
      <c r="C20" s="3">
        <v>6200</v>
      </c>
      <c r="D20">
        <v>5</v>
      </c>
      <c r="E20" s="6" t="str" cm="1">
        <f t="array" ref="E20" xml:space="preserve"> _xlfn.SWITCH(D20, $H$6,$I$6,$H$7,$I$7,$H$8,$I$8,$H$9,$I$9,$H$10,$I$10, "No match")</f>
        <v>157 and over</v>
      </c>
      <c r="F20" s="8" t="str" cm="1">
        <f t="array" ref="F20">_xlfn.IFS(D20=$H$6, $I$6, D20=$H$7, $I$7, D20=$H$8,$I$8, D20=$H$9, $I$9, D20=$H$10, $I$10, D20&gt;5, "No match")</f>
        <v>157 and over</v>
      </c>
    </row>
    <row r="21" spans="1:6">
      <c r="A21" t="s">
        <v>45</v>
      </c>
      <c r="B21" t="s">
        <v>46</v>
      </c>
      <c r="C21" s="3">
        <v>7660</v>
      </c>
      <c r="D21">
        <v>3</v>
      </c>
      <c r="E21" s="6" cm="1">
        <f t="array" ref="E21" xml:space="preserve"> _xlfn.SWITCH(D21, $H$6,$I$6,$H$7,$I$7,$H$8,$I$8,$H$9,$I$9,$H$10,$I$10, "No match")</f>
        <v>129</v>
      </c>
      <c r="F21" s="8" cm="1">
        <f t="array" ref="F21">_xlfn.IFS(D21=$H$6, $I$6, D21=$H$7, $I$7, D21=$H$8,$I$8, D21=$H$9, $I$9, D21=$H$10, $I$10, D21&gt;5, "No match")</f>
        <v>129</v>
      </c>
    </row>
    <row r="22" spans="1:6">
      <c r="A22" t="s">
        <v>47</v>
      </c>
      <c r="B22" t="s">
        <v>48</v>
      </c>
      <c r="C22" s="3">
        <v>108000</v>
      </c>
      <c r="D22">
        <v>5</v>
      </c>
      <c r="E22" s="6" t="str" cm="1">
        <f t="array" ref="E22" xml:space="preserve"> _xlfn.SWITCH(D22, $H$6,$I$6,$H$7,$I$7,$H$8,$I$8,$H$9,$I$9,$H$10,$I$10, "No match")</f>
        <v>157 and over</v>
      </c>
      <c r="F22" s="8" t="str" cm="1">
        <f t="array" ref="F22">_xlfn.IFS(D22=$H$6, $I$6, D22=$H$7, $I$7, D22=$H$8,$I$8, D22=$H$9, $I$9, D22=$H$10, $I$10, D22&gt;5, "No match")</f>
        <v>157 and over</v>
      </c>
    </row>
    <row r="23" spans="1:6">
      <c r="A23" t="s">
        <v>49</v>
      </c>
      <c r="B23" t="s">
        <v>50</v>
      </c>
      <c r="C23" s="3">
        <v>3960</v>
      </c>
      <c r="D23">
        <v>1</v>
      </c>
      <c r="E23" s="6" cm="1">
        <f t="array" ref="E23" xml:space="preserve"> _xlfn.SWITCH(D23, $H$6,$I$6,$H$7,$I$7,$H$8,$I$8,$H$9,$I$9,$H$10,$I$10, "No match")</f>
        <v>95</v>
      </c>
      <c r="F23" s="8" cm="1">
        <f t="array" ref="F23">_xlfn.IFS(D23=$H$6, $I$6, D23=$H$7, $I$7, D23=$H$8,$I$8, D23=$H$9, $I$9, D23=$H$10, $I$10, D23&gt;5, "No match")</f>
        <v>95</v>
      </c>
    </row>
    <row r="24" spans="1:6">
      <c r="A24" t="s">
        <v>51</v>
      </c>
      <c r="B24" t="s">
        <v>52</v>
      </c>
      <c r="C24" s="3">
        <v>300000</v>
      </c>
      <c r="D24">
        <v>5</v>
      </c>
      <c r="E24" s="6" t="str" cm="1">
        <f t="array" ref="E24" xml:space="preserve"> _xlfn.SWITCH(D24, $H$6,$I$6,$H$7,$I$7,$H$8,$I$8,$H$9,$I$9,$H$10,$I$10, "No match")</f>
        <v>157 and over</v>
      </c>
      <c r="F24" s="8" t="str" cm="1">
        <f t="array" ref="F24">_xlfn.IFS(D24=$H$6, $I$6, D24=$H$7, $I$7, D24=$H$8,$I$8, D24=$H$9, $I$9, D24=$H$10, $I$10, D24&gt;5, "No match")</f>
        <v>157 and over</v>
      </c>
    </row>
    <row r="25" spans="1:6">
      <c r="C25" s="3"/>
      <c r="D25">
        <v>10</v>
      </c>
      <c r="E25" s="6" t="str" cm="1">
        <f t="array" ref="E25" xml:space="preserve"> _xlfn.SWITCH(D25, $H$6,$I$6,$H$7,$I$7,$H$8,$I$8,$H$9,$I$9,$H$10,$I$10, "No match")</f>
        <v>No match</v>
      </c>
      <c r="F25" s="8" t="str" cm="1">
        <f t="array" ref="F25">_xlfn.IFS(D25=$H$6, $I$6, D25=$H$7, $I$7, D25=$H$8,$I$8, D25=$H$9, $I$9, D25=$H$10, $I$10, D25&gt;5, "No match")</f>
        <v>No match</v>
      </c>
    </row>
    <row r="26" spans="1:6">
      <c r="C26" s="3"/>
      <c r="D26">
        <v>6</v>
      </c>
      <c r="E26" s="6" t="str" cm="1">
        <f t="array" ref="E26" xml:space="preserve"> _xlfn.SWITCH(D26, $H$6,$I$6,$H$7,$I$7,$H$8,$I$8,$H$9,$I$9,$H$10,$I$10, "No match")</f>
        <v>No match</v>
      </c>
      <c r="F26" s="8" t="str" cm="1">
        <f t="array" ref="F26">_xlfn.IFS(D26=$H$6, $I$6, D26=$H$7, $I$7, D26=$H$8,$I$8, D26=$H$9, $I$9, D26=$H$10, $I$10, D26&gt;5, "No match")</f>
        <v>No match</v>
      </c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C4E8492F-3E33-4709-B3C9-ED00B5BA00B6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2026-02-25T11:43:56Z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