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2wcompletetraining057.sharepoint.com/sites/2025-12-01_REGIONAL_DATA/Class Materials/Week 1 Excel/Day 2/"/>
    </mc:Choice>
  </mc:AlternateContent>
  <xr:revisionPtr revIDLastSave="710" documentId="8_{A1B6FE3E-8BD6-4C9B-AFBF-A92F2DF013F5}" xr6:coauthVersionLast="47" xr6:coauthVersionMax="47" xr10:uidLastSave="{D5140C1C-6A37-4F26-8596-937289BAD1A0}"/>
  <bookViews>
    <workbookView xWindow="-28920" yWindow="-1530" windowWidth="29040" windowHeight="16440" firstSheet="2" xr2:uid="{00000000-000D-0000-FFFF-FFFF00000000}"/>
  </bookViews>
  <sheets>
    <sheet name="retail_sales_dataset" sheetId="1" r:id="rId1"/>
    <sheet name="Transactions" sheetId="2" r:id="rId2"/>
    <sheet name="Sales by Category and Gender" sheetId="3" r:id="rId3"/>
    <sheet name="Sales by Category and Generatio" sheetId="4" r:id="rId4"/>
  </sheets>
  <definedNames>
    <definedName name="_xlnm._FilterDatabase" localSheetId="0" hidden="1">retail_sales_dataset!$A$1:$Q$1</definedName>
    <definedName name="_xlcn.WorksheetConnection_retail_sales_dataset.xlsxTable11" hidden="1">retail_sales_dataset!$A$1:$L$1001</definedName>
    <definedName name="Slicer_Gender">#N/A</definedName>
    <definedName name="Slicer_Generation">#N/A</definedName>
    <definedName name="Slicer_Product_Category">#N/A</definedName>
  </definedNames>
  <calcPr calcId="191028"/>
  <pivotCaches>
    <pivotCache cacheId="1788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retail_sales_dataset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  <c r="H2" i="1"/>
  <c r="H3" i="1" a="1"/>
  <c r="H3" i="1"/>
  <c r="H4" i="1" a="1"/>
  <c r="H4" i="1"/>
  <c r="H5" i="1" a="1"/>
  <c r="H5" i="1"/>
  <c r="H6" i="1" a="1"/>
  <c r="H6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68" i="1" a="1"/>
  <c r="H368" i="1"/>
  <c r="H369" i="1" a="1"/>
  <c r="H369" i="1"/>
  <c r="H370" i="1" a="1"/>
  <c r="H370" i="1"/>
  <c r="H371" i="1" a="1"/>
  <c r="H371" i="1"/>
  <c r="H372" i="1" a="1"/>
  <c r="H372" i="1"/>
  <c r="H373" i="1" a="1"/>
  <c r="H373" i="1"/>
  <c r="H374" i="1" a="1"/>
  <c r="H374" i="1"/>
  <c r="H375" i="1" a="1"/>
  <c r="H375" i="1"/>
  <c r="H376" i="1" a="1"/>
  <c r="H376" i="1"/>
  <c r="H377" i="1" a="1"/>
  <c r="H377" i="1"/>
  <c r="H378" i="1" a="1"/>
  <c r="H378" i="1"/>
  <c r="H379" i="1" a="1"/>
  <c r="H379" i="1"/>
  <c r="H380" i="1" a="1"/>
  <c r="H380" i="1"/>
  <c r="H381" i="1" a="1"/>
  <c r="H381" i="1"/>
  <c r="H382" i="1" a="1"/>
  <c r="H382" i="1"/>
  <c r="H383" i="1" a="1"/>
  <c r="H383" i="1"/>
  <c r="H384" i="1" a="1"/>
  <c r="H384" i="1"/>
  <c r="H385" i="1" a="1"/>
  <c r="H385" i="1"/>
  <c r="H386" i="1" a="1"/>
  <c r="H386" i="1"/>
  <c r="H387" i="1" a="1"/>
  <c r="H387" i="1"/>
  <c r="H388" i="1" a="1"/>
  <c r="H388" i="1"/>
  <c r="H389" i="1" a="1"/>
  <c r="H389" i="1"/>
  <c r="H390" i="1" a="1"/>
  <c r="H390" i="1"/>
  <c r="H391" i="1" a="1"/>
  <c r="H391" i="1"/>
  <c r="H392" i="1" a="1"/>
  <c r="H392" i="1"/>
  <c r="H393" i="1" a="1"/>
  <c r="H393" i="1"/>
  <c r="H394" i="1" a="1"/>
  <c r="H394" i="1"/>
  <c r="H395" i="1" a="1"/>
  <c r="H395" i="1"/>
  <c r="H396" i="1" a="1"/>
  <c r="H396" i="1"/>
  <c r="H397" i="1" a="1"/>
  <c r="H397" i="1"/>
  <c r="H398" i="1" a="1"/>
  <c r="H398" i="1"/>
  <c r="H399" i="1" a="1"/>
  <c r="H399" i="1"/>
  <c r="H400" i="1" a="1"/>
  <c r="H400" i="1"/>
  <c r="H401" i="1" a="1"/>
  <c r="H401" i="1"/>
  <c r="H402" i="1" a="1"/>
  <c r="H402" i="1"/>
  <c r="H403" i="1" a="1"/>
  <c r="H403" i="1"/>
  <c r="H404" i="1" a="1"/>
  <c r="H404" i="1"/>
  <c r="H405" i="1" a="1"/>
  <c r="H405" i="1"/>
  <c r="H406" i="1" a="1"/>
  <c r="H406" i="1"/>
  <c r="H407" i="1" a="1"/>
  <c r="H407" i="1"/>
  <c r="H408" i="1" a="1"/>
  <c r="H408" i="1"/>
  <c r="H409" i="1" a="1"/>
  <c r="H409" i="1"/>
  <c r="H410" i="1" a="1"/>
  <c r="H410" i="1"/>
  <c r="H411" i="1" a="1"/>
  <c r="H411" i="1"/>
  <c r="H412" i="1" a="1"/>
  <c r="H412" i="1"/>
  <c r="H413" i="1" a="1"/>
  <c r="H413" i="1"/>
  <c r="H414" i="1" a="1"/>
  <c r="H414" i="1"/>
  <c r="H415" i="1" a="1"/>
  <c r="H415" i="1"/>
  <c r="H416" i="1" a="1"/>
  <c r="H416" i="1"/>
  <c r="H417" i="1" a="1"/>
  <c r="H417" i="1"/>
  <c r="H418" i="1" a="1"/>
  <c r="H418" i="1"/>
  <c r="H419" i="1" a="1"/>
  <c r="H419" i="1"/>
  <c r="H420" i="1" a="1"/>
  <c r="H420" i="1"/>
  <c r="H421" i="1" a="1"/>
  <c r="H421" i="1"/>
  <c r="H422" i="1" a="1"/>
  <c r="H422" i="1"/>
  <c r="H423" i="1" a="1"/>
  <c r="H423" i="1"/>
  <c r="H424" i="1" a="1"/>
  <c r="H424" i="1"/>
  <c r="H425" i="1" a="1"/>
  <c r="H425" i="1"/>
  <c r="H426" i="1" a="1"/>
  <c r="H426" i="1"/>
  <c r="H427" i="1" a="1"/>
  <c r="H427" i="1"/>
  <c r="H428" i="1" a="1"/>
  <c r="H428" i="1"/>
  <c r="H429" i="1" a="1"/>
  <c r="H429" i="1"/>
  <c r="H430" i="1" a="1"/>
  <c r="H430" i="1"/>
  <c r="H431" i="1" a="1"/>
  <c r="H431" i="1"/>
  <c r="H432" i="1" a="1"/>
  <c r="H432" i="1"/>
  <c r="H433" i="1" a="1"/>
  <c r="H433" i="1"/>
  <c r="H434" i="1" a="1"/>
  <c r="H434" i="1"/>
  <c r="H435" i="1" a="1"/>
  <c r="H435" i="1"/>
  <c r="H436" i="1" a="1"/>
  <c r="H436" i="1"/>
  <c r="H437" i="1" a="1"/>
  <c r="H437" i="1"/>
  <c r="H438" i="1" a="1"/>
  <c r="H438" i="1"/>
  <c r="H439" i="1" a="1"/>
  <c r="H439" i="1"/>
  <c r="H440" i="1" a="1"/>
  <c r="H440" i="1"/>
  <c r="H441" i="1" a="1"/>
  <c r="H441" i="1"/>
  <c r="H442" i="1" a="1"/>
  <c r="H442" i="1"/>
  <c r="H443" i="1" a="1"/>
  <c r="H443" i="1"/>
  <c r="H444" i="1" a="1"/>
  <c r="H444" i="1"/>
  <c r="H445" i="1" a="1"/>
  <c r="H445" i="1"/>
  <c r="H446" i="1" a="1"/>
  <c r="H446" i="1"/>
  <c r="H447" i="1" a="1"/>
  <c r="H447" i="1"/>
  <c r="H448" i="1" a="1"/>
  <c r="H448" i="1"/>
  <c r="H449" i="1" a="1"/>
  <c r="H449" i="1"/>
  <c r="H450" i="1" a="1"/>
  <c r="H450" i="1"/>
  <c r="H451" i="1" a="1"/>
  <c r="H451" i="1"/>
  <c r="H452" i="1" a="1"/>
  <c r="H452" i="1"/>
  <c r="H453" i="1" a="1"/>
  <c r="H453" i="1"/>
  <c r="H454" i="1" a="1"/>
  <c r="H454" i="1"/>
  <c r="H455" i="1" a="1"/>
  <c r="H455" i="1"/>
  <c r="H456" i="1" a="1"/>
  <c r="H456" i="1"/>
  <c r="H457" i="1" a="1"/>
  <c r="H457" i="1"/>
  <c r="H458" i="1" a="1"/>
  <c r="H458" i="1"/>
  <c r="H459" i="1" a="1"/>
  <c r="H459" i="1"/>
  <c r="H460" i="1" a="1"/>
  <c r="H460" i="1"/>
  <c r="H461" i="1" a="1"/>
  <c r="H461" i="1"/>
  <c r="H462" i="1" a="1"/>
  <c r="H462" i="1"/>
  <c r="H463" i="1" a="1"/>
  <c r="H463" i="1"/>
  <c r="H464" i="1" a="1"/>
  <c r="H464" i="1"/>
  <c r="H465" i="1" a="1"/>
  <c r="H465" i="1"/>
  <c r="H466" i="1" a="1"/>
  <c r="H466" i="1"/>
  <c r="H467" i="1" a="1"/>
  <c r="H467" i="1"/>
  <c r="H468" i="1" a="1"/>
  <c r="H468" i="1"/>
  <c r="H469" i="1" a="1"/>
  <c r="H469" i="1"/>
  <c r="H470" i="1" a="1"/>
  <c r="H470" i="1"/>
  <c r="H471" i="1" a="1"/>
  <c r="H471" i="1"/>
  <c r="H472" i="1" a="1"/>
  <c r="H472" i="1"/>
  <c r="H473" i="1" a="1"/>
  <c r="H473" i="1"/>
  <c r="H474" i="1" a="1"/>
  <c r="H474" i="1"/>
  <c r="H475" i="1" a="1"/>
  <c r="H475" i="1"/>
  <c r="H476" i="1" a="1"/>
  <c r="H476" i="1"/>
  <c r="H477" i="1" a="1"/>
  <c r="H477" i="1"/>
  <c r="H478" i="1" a="1"/>
  <c r="H478" i="1"/>
  <c r="H479" i="1" a="1"/>
  <c r="H479" i="1"/>
  <c r="H480" i="1" a="1"/>
  <c r="H480" i="1"/>
  <c r="H481" i="1" a="1"/>
  <c r="H481" i="1"/>
  <c r="H482" i="1" a="1"/>
  <c r="H482" i="1"/>
  <c r="H483" i="1" a="1"/>
  <c r="H483" i="1"/>
  <c r="H484" i="1" a="1"/>
  <c r="H484" i="1"/>
  <c r="H485" i="1" a="1"/>
  <c r="H485" i="1"/>
  <c r="H486" i="1" a="1"/>
  <c r="H486" i="1"/>
  <c r="H487" i="1" a="1"/>
  <c r="H487" i="1"/>
  <c r="H488" i="1" a="1"/>
  <c r="H488" i="1"/>
  <c r="H489" i="1" a="1"/>
  <c r="H489" i="1"/>
  <c r="H490" i="1" a="1"/>
  <c r="H490" i="1"/>
  <c r="H491" i="1" a="1"/>
  <c r="H491" i="1"/>
  <c r="H492" i="1" a="1"/>
  <c r="H492" i="1"/>
  <c r="H493" i="1" a="1"/>
  <c r="H493" i="1"/>
  <c r="H494" i="1" a="1"/>
  <c r="H494" i="1"/>
  <c r="H495" i="1" a="1"/>
  <c r="H495" i="1"/>
  <c r="H496" i="1" a="1"/>
  <c r="H496" i="1"/>
  <c r="H497" i="1" a="1"/>
  <c r="H497" i="1"/>
  <c r="H498" i="1" a="1"/>
  <c r="H498" i="1"/>
  <c r="H499" i="1" a="1"/>
  <c r="H499" i="1"/>
  <c r="H500" i="1" a="1"/>
  <c r="H500" i="1"/>
  <c r="H501" i="1" a="1"/>
  <c r="H501" i="1"/>
  <c r="H502" i="1" a="1"/>
  <c r="H502" i="1"/>
  <c r="H503" i="1" a="1"/>
  <c r="H503" i="1"/>
  <c r="H504" i="1" a="1"/>
  <c r="H504" i="1"/>
  <c r="H505" i="1" a="1"/>
  <c r="H505" i="1"/>
  <c r="H506" i="1" a="1"/>
  <c r="H506" i="1"/>
  <c r="H507" i="1" a="1"/>
  <c r="H507" i="1"/>
  <c r="H508" i="1" a="1"/>
  <c r="H508" i="1"/>
  <c r="H509" i="1" a="1"/>
  <c r="H509" i="1"/>
  <c r="H510" i="1" a="1"/>
  <c r="H510" i="1"/>
  <c r="H511" i="1" a="1"/>
  <c r="H511" i="1"/>
  <c r="H512" i="1" a="1"/>
  <c r="H512" i="1"/>
  <c r="H513" i="1" a="1"/>
  <c r="H513" i="1"/>
  <c r="H514" i="1" a="1"/>
  <c r="H514" i="1"/>
  <c r="H515" i="1" a="1"/>
  <c r="H515" i="1"/>
  <c r="H516" i="1" a="1"/>
  <c r="H516" i="1"/>
  <c r="H517" i="1" a="1"/>
  <c r="H517" i="1"/>
  <c r="H518" i="1" a="1"/>
  <c r="H518" i="1"/>
  <c r="H519" i="1" a="1"/>
  <c r="H519" i="1"/>
  <c r="H520" i="1" a="1"/>
  <c r="H520" i="1"/>
  <c r="H521" i="1" a="1"/>
  <c r="H521" i="1"/>
  <c r="H522" i="1" a="1"/>
  <c r="H522" i="1"/>
  <c r="H523" i="1" a="1"/>
  <c r="H523" i="1"/>
  <c r="H524" i="1" a="1"/>
  <c r="H524" i="1"/>
  <c r="H525" i="1" a="1"/>
  <c r="H525" i="1"/>
  <c r="H526" i="1" a="1"/>
  <c r="H526" i="1"/>
  <c r="H527" i="1" a="1"/>
  <c r="H527" i="1"/>
  <c r="H528" i="1" a="1"/>
  <c r="H528" i="1"/>
  <c r="H529" i="1" a="1"/>
  <c r="H529" i="1"/>
  <c r="H530" i="1" a="1"/>
  <c r="H530" i="1"/>
  <c r="H531" i="1" a="1"/>
  <c r="H531" i="1"/>
  <c r="H532" i="1" a="1"/>
  <c r="H532" i="1"/>
  <c r="H533" i="1" a="1"/>
  <c r="H533" i="1"/>
  <c r="H534" i="1" a="1"/>
  <c r="H534" i="1"/>
  <c r="H535" i="1" a="1"/>
  <c r="H535" i="1"/>
  <c r="H536" i="1" a="1"/>
  <c r="H536" i="1"/>
  <c r="H537" i="1" a="1"/>
  <c r="H537" i="1"/>
  <c r="H538" i="1" a="1"/>
  <c r="H538" i="1"/>
  <c r="H539" i="1" a="1"/>
  <c r="H539" i="1"/>
  <c r="H540" i="1" a="1"/>
  <c r="H540" i="1"/>
  <c r="H541" i="1" a="1"/>
  <c r="H541" i="1"/>
  <c r="H542" i="1" a="1"/>
  <c r="H542" i="1"/>
  <c r="H543" i="1" a="1"/>
  <c r="H543" i="1"/>
  <c r="H544" i="1" a="1"/>
  <c r="H544" i="1"/>
  <c r="H545" i="1" a="1"/>
  <c r="H545" i="1"/>
  <c r="H546" i="1" a="1"/>
  <c r="H546" i="1"/>
  <c r="H547" i="1" a="1"/>
  <c r="H547" i="1"/>
  <c r="H548" i="1" a="1"/>
  <c r="H548" i="1"/>
  <c r="H549" i="1" a="1"/>
  <c r="H549" i="1"/>
  <c r="H550" i="1" a="1"/>
  <c r="H550" i="1"/>
  <c r="H551" i="1" a="1"/>
  <c r="H551" i="1"/>
  <c r="H552" i="1" a="1"/>
  <c r="H552" i="1"/>
  <c r="H553" i="1" a="1"/>
  <c r="H553" i="1"/>
  <c r="H554" i="1" a="1"/>
  <c r="H554" i="1"/>
  <c r="H555" i="1" a="1"/>
  <c r="H555" i="1"/>
  <c r="H556" i="1" a="1"/>
  <c r="H556" i="1"/>
  <c r="H557" i="1" a="1"/>
  <c r="H557" i="1"/>
  <c r="H558" i="1" a="1"/>
  <c r="H558" i="1"/>
  <c r="H559" i="1" a="1"/>
  <c r="H559" i="1"/>
  <c r="H560" i="1" a="1"/>
  <c r="H560" i="1"/>
  <c r="H561" i="1" a="1"/>
  <c r="H561" i="1"/>
  <c r="H562" i="1" a="1"/>
  <c r="H562" i="1"/>
  <c r="H563" i="1" a="1"/>
  <c r="H563" i="1"/>
  <c r="H564" i="1" a="1"/>
  <c r="H564" i="1"/>
  <c r="H565" i="1" a="1"/>
  <c r="H565" i="1"/>
  <c r="H566" i="1" a="1"/>
  <c r="H566" i="1"/>
  <c r="H567" i="1" a="1"/>
  <c r="H567" i="1"/>
  <c r="H568" i="1" a="1"/>
  <c r="H568" i="1"/>
  <c r="H569" i="1" a="1"/>
  <c r="H569" i="1"/>
  <c r="H570" i="1" a="1"/>
  <c r="H570" i="1"/>
  <c r="H571" i="1" a="1"/>
  <c r="H571" i="1"/>
  <c r="H572" i="1" a="1"/>
  <c r="H572" i="1"/>
  <c r="H573" i="1" a="1"/>
  <c r="H573" i="1"/>
  <c r="H574" i="1" a="1"/>
  <c r="H574" i="1"/>
  <c r="H575" i="1" a="1"/>
  <c r="H575" i="1"/>
  <c r="H576" i="1" a="1"/>
  <c r="H576" i="1"/>
  <c r="H577" i="1" a="1"/>
  <c r="H577" i="1"/>
  <c r="H578" i="1" a="1"/>
  <c r="H578" i="1"/>
  <c r="H579" i="1" a="1"/>
  <c r="H579" i="1"/>
  <c r="H580" i="1" a="1"/>
  <c r="H580" i="1"/>
  <c r="H581" i="1" a="1"/>
  <c r="H581" i="1"/>
  <c r="H582" i="1" a="1"/>
  <c r="H582" i="1"/>
  <c r="H583" i="1" a="1"/>
  <c r="H583" i="1"/>
  <c r="H584" i="1" a="1"/>
  <c r="H584" i="1"/>
  <c r="H585" i="1" a="1"/>
  <c r="H585" i="1"/>
  <c r="H586" i="1" a="1"/>
  <c r="H586" i="1"/>
  <c r="H587" i="1" a="1"/>
  <c r="H587" i="1"/>
  <c r="H588" i="1" a="1"/>
  <c r="H588" i="1"/>
  <c r="H589" i="1" a="1"/>
  <c r="H589" i="1"/>
  <c r="H590" i="1" a="1"/>
  <c r="H590" i="1"/>
  <c r="H591" i="1" a="1"/>
  <c r="H591" i="1"/>
  <c r="H592" i="1" a="1"/>
  <c r="H592" i="1"/>
  <c r="H593" i="1" a="1"/>
  <c r="H593" i="1"/>
  <c r="H594" i="1" a="1"/>
  <c r="H594" i="1"/>
  <c r="H595" i="1" a="1"/>
  <c r="H595" i="1"/>
  <c r="H596" i="1" a="1"/>
  <c r="H596" i="1"/>
  <c r="H597" i="1" a="1"/>
  <c r="H597" i="1"/>
  <c r="H598" i="1" a="1"/>
  <c r="H598" i="1"/>
  <c r="H599" i="1" a="1"/>
  <c r="H599" i="1"/>
  <c r="H600" i="1" a="1"/>
  <c r="H600" i="1"/>
  <c r="H601" i="1" a="1"/>
  <c r="H601" i="1"/>
  <c r="H602" i="1" a="1"/>
  <c r="H602" i="1"/>
  <c r="H603" i="1" a="1"/>
  <c r="H603" i="1"/>
  <c r="H604" i="1" a="1"/>
  <c r="H604" i="1"/>
  <c r="H605" i="1" a="1"/>
  <c r="H605" i="1"/>
  <c r="H606" i="1" a="1"/>
  <c r="H606" i="1"/>
  <c r="H607" i="1" a="1"/>
  <c r="H607" i="1"/>
  <c r="H608" i="1" a="1"/>
  <c r="H608" i="1"/>
  <c r="H609" i="1" a="1"/>
  <c r="H609" i="1"/>
  <c r="H610" i="1" a="1"/>
  <c r="H610" i="1"/>
  <c r="H611" i="1" a="1"/>
  <c r="H611" i="1"/>
  <c r="H612" i="1" a="1"/>
  <c r="H612" i="1"/>
  <c r="H613" i="1" a="1"/>
  <c r="H613" i="1"/>
  <c r="H614" i="1" a="1"/>
  <c r="H614" i="1"/>
  <c r="H615" i="1" a="1"/>
  <c r="H615" i="1"/>
  <c r="H616" i="1" a="1"/>
  <c r="H616" i="1"/>
  <c r="H617" i="1" a="1"/>
  <c r="H617" i="1"/>
  <c r="H618" i="1" a="1"/>
  <c r="H618" i="1"/>
  <c r="H619" i="1" a="1"/>
  <c r="H619" i="1"/>
  <c r="H620" i="1" a="1"/>
  <c r="H620" i="1"/>
  <c r="H621" i="1" a="1"/>
  <c r="H621" i="1"/>
  <c r="H622" i="1" a="1"/>
  <c r="H622" i="1"/>
  <c r="H623" i="1" a="1"/>
  <c r="H623" i="1"/>
  <c r="H624" i="1" a="1"/>
  <c r="H624" i="1"/>
  <c r="H625" i="1" a="1"/>
  <c r="H625" i="1"/>
  <c r="H626" i="1" a="1"/>
  <c r="H626" i="1"/>
  <c r="H627" i="1" a="1"/>
  <c r="H627" i="1"/>
  <c r="H628" i="1" a="1"/>
  <c r="H628" i="1"/>
  <c r="H629" i="1" a="1"/>
  <c r="H629" i="1"/>
  <c r="H630" i="1" a="1"/>
  <c r="H630" i="1"/>
  <c r="H631" i="1" a="1"/>
  <c r="H631" i="1"/>
  <c r="H632" i="1" a="1"/>
  <c r="H632" i="1"/>
  <c r="H633" i="1" a="1"/>
  <c r="H633" i="1"/>
  <c r="H634" i="1" a="1"/>
  <c r="H634" i="1"/>
  <c r="H635" i="1" a="1"/>
  <c r="H635" i="1"/>
  <c r="H636" i="1" a="1"/>
  <c r="H636" i="1"/>
  <c r="H637" i="1" a="1"/>
  <c r="H637" i="1"/>
  <c r="H638" i="1" a="1"/>
  <c r="H638" i="1"/>
  <c r="H639" i="1" a="1"/>
  <c r="H639" i="1"/>
  <c r="H640" i="1" a="1"/>
  <c r="H640" i="1"/>
  <c r="H641" i="1" a="1"/>
  <c r="H641" i="1"/>
  <c r="H642" i="1" a="1"/>
  <c r="H642" i="1"/>
  <c r="H643" i="1" a="1"/>
  <c r="H643" i="1"/>
  <c r="H644" i="1" a="1"/>
  <c r="H644" i="1"/>
  <c r="H645" i="1" a="1"/>
  <c r="H645" i="1"/>
  <c r="H646" i="1" a="1"/>
  <c r="H646" i="1"/>
  <c r="H647" i="1" a="1"/>
  <c r="H647" i="1"/>
  <c r="H648" i="1" a="1"/>
  <c r="H648" i="1"/>
  <c r="H649" i="1" a="1"/>
  <c r="H649" i="1"/>
  <c r="H650" i="1" a="1"/>
  <c r="H650" i="1"/>
  <c r="H651" i="1" a="1"/>
  <c r="H651" i="1"/>
  <c r="H652" i="1" a="1"/>
  <c r="H652" i="1"/>
  <c r="H653" i="1" a="1"/>
  <c r="H653" i="1"/>
  <c r="H654" i="1" a="1"/>
  <c r="H654" i="1"/>
  <c r="H655" i="1" a="1"/>
  <c r="H655" i="1"/>
  <c r="H656" i="1" a="1"/>
  <c r="H656" i="1"/>
  <c r="H657" i="1" a="1"/>
  <c r="H657" i="1"/>
  <c r="H658" i="1" a="1"/>
  <c r="H658" i="1"/>
  <c r="H659" i="1" a="1"/>
  <c r="H659" i="1"/>
  <c r="H660" i="1" a="1"/>
  <c r="H660" i="1"/>
  <c r="H661" i="1" a="1"/>
  <c r="H661" i="1"/>
  <c r="H662" i="1" a="1"/>
  <c r="H662" i="1"/>
  <c r="H663" i="1" a="1"/>
  <c r="H663" i="1"/>
  <c r="H664" i="1" a="1"/>
  <c r="H664" i="1"/>
  <c r="H665" i="1" a="1"/>
  <c r="H665" i="1"/>
  <c r="H666" i="1" a="1"/>
  <c r="H666" i="1"/>
  <c r="H667" i="1" a="1"/>
  <c r="H667" i="1"/>
  <c r="H668" i="1" a="1"/>
  <c r="H668" i="1"/>
  <c r="H669" i="1" a="1"/>
  <c r="H669" i="1"/>
  <c r="H670" i="1" a="1"/>
  <c r="H670" i="1"/>
  <c r="H671" i="1" a="1"/>
  <c r="H671" i="1"/>
  <c r="H672" i="1" a="1"/>
  <c r="H672" i="1"/>
  <c r="H673" i="1" a="1"/>
  <c r="H673" i="1"/>
  <c r="H674" i="1" a="1"/>
  <c r="H674" i="1"/>
  <c r="H675" i="1" a="1"/>
  <c r="H675" i="1"/>
  <c r="H676" i="1" a="1"/>
  <c r="H676" i="1"/>
  <c r="H677" i="1" a="1"/>
  <c r="H677" i="1"/>
  <c r="H678" i="1" a="1"/>
  <c r="H678" i="1"/>
  <c r="H679" i="1" a="1"/>
  <c r="H679" i="1"/>
  <c r="H680" i="1" a="1"/>
  <c r="H680" i="1"/>
  <c r="H681" i="1" a="1"/>
  <c r="H681" i="1"/>
  <c r="H682" i="1" a="1"/>
  <c r="H682" i="1"/>
  <c r="H683" i="1" a="1"/>
  <c r="H683" i="1"/>
  <c r="H684" i="1" a="1"/>
  <c r="H684" i="1"/>
  <c r="H685" i="1" a="1"/>
  <c r="H685" i="1"/>
  <c r="H686" i="1" a="1"/>
  <c r="H686" i="1"/>
  <c r="H687" i="1" a="1"/>
  <c r="H687" i="1"/>
  <c r="H688" i="1" a="1"/>
  <c r="H688" i="1"/>
  <c r="H689" i="1" a="1"/>
  <c r="H689" i="1"/>
  <c r="H690" i="1" a="1"/>
  <c r="H690" i="1"/>
  <c r="H691" i="1" a="1"/>
  <c r="H691" i="1"/>
  <c r="H692" i="1" a="1"/>
  <c r="H692" i="1"/>
  <c r="H693" i="1" a="1"/>
  <c r="H693" i="1"/>
  <c r="H694" i="1" a="1"/>
  <c r="H694" i="1"/>
  <c r="H695" i="1" a="1"/>
  <c r="H695" i="1"/>
  <c r="H696" i="1" a="1"/>
  <c r="H696" i="1"/>
  <c r="H697" i="1" a="1"/>
  <c r="H697" i="1"/>
  <c r="H698" i="1" a="1"/>
  <c r="H698" i="1"/>
  <c r="H699" i="1" a="1"/>
  <c r="H699" i="1"/>
  <c r="H700" i="1" a="1"/>
  <c r="H700" i="1"/>
  <c r="H701" i="1" a="1"/>
  <c r="H701" i="1"/>
  <c r="H702" i="1" a="1"/>
  <c r="H702" i="1"/>
  <c r="H703" i="1" a="1"/>
  <c r="H703" i="1"/>
  <c r="H704" i="1" a="1"/>
  <c r="H704" i="1"/>
  <c r="H705" i="1" a="1"/>
  <c r="H705" i="1"/>
  <c r="H706" i="1" a="1"/>
  <c r="H706" i="1"/>
  <c r="H707" i="1" a="1"/>
  <c r="H707" i="1"/>
  <c r="H708" i="1" a="1"/>
  <c r="H708" i="1"/>
  <c r="H709" i="1" a="1"/>
  <c r="H709" i="1"/>
  <c r="H710" i="1" a="1"/>
  <c r="H710" i="1"/>
  <c r="H711" i="1" a="1"/>
  <c r="H711" i="1"/>
  <c r="H712" i="1" a="1"/>
  <c r="H712" i="1"/>
  <c r="H713" i="1" a="1"/>
  <c r="H713" i="1"/>
  <c r="H714" i="1" a="1"/>
  <c r="H714" i="1"/>
  <c r="H715" i="1" a="1"/>
  <c r="H715" i="1"/>
  <c r="H716" i="1" a="1"/>
  <c r="H716" i="1"/>
  <c r="H717" i="1" a="1"/>
  <c r="H717" i="1"/>
  <c r="H718" i="1" a="1"/>
  <c r="H718" i="1"/>
  <c r="H719" i="1" a="1"/>
  <c r="H719" i="1"/>
  <c r="H720" i="1" a="1"/>
  <c r="H720" i="1"/>
  <c r="H721" i="1" a="1"/>
  <c r="H721" i="1"/>
  <c r="H722" i="1" a="1"/>
  <c r="H722" i="1"/>
  <c r="H723" i="1" a="1"/>
  <c r="H723" i="1"/>
  <c r="H724" i="1" a="1"/>
  <c r="H724" i="1"/>
  <c r="H725" i="1" a="1"/>
  <c r="H725" i="1"/>
  <c r="H726" i="1" a="1"/>
  <c r="H726" i="1"/>
  <c r="H727" i="1" a="1"/>
  <c r="H727" i="1"/>
  <c r="H728" i="1" a="1"/>
  <c r="H728" i="1"/>
  <c r="H729" i="1" a="1"/>
  <c r="H729" i="1"/>
  <c r="H730" i="1" a="1"/>
  <c r="H730" i="1"/>
  <c r="H731" i="1" a="1"/>
  <c r="H731" i="1"/>
  <c r="H732" i="1" a="1"/>
  <c r="H732" i="1"/>
  <c r="H733" i="1" a="1"/>
  <c r="H733" i="1"/>
  <c r="H734" i="1" a="1"/>
  <c r="H734" i="1"/>
  <c r="H735" i="1" a="1"/>
  <c r="H735" i="1"/>
  <c r="H736" i="1" a="1"/>
  <c r="H736" i="1"/>
  <c r="H737" i="1" a="1"/>
  <c r="H737" i="1"/>
  <c r="H738" i="1" a="1"/>
  <c r="H738" i="1"/>
  <c r="H739" i="1" a="1"/>
  <c r="H739" i="1"/>
  <c r="H740" i="1" a="1"/>
  <c r="H740" i="1"/>
  <c r="H741" i="1" a="1"/>
  <c r="H741" i="1"/>
  <c r="H742" i="1" a="1"/>
  <c r="H742" i="1"/>
  <c r="H743" i="1" a="1"/>
  <c r="H743" i="1"/>
  <c r="H744" i="1" a="1"/>
  <c r="H744" i="1"/>
  <c r="H745" i="1" a="1"/>
  <c r="H745" i="1"/>
  <c r="H746" i="1" a="1"/>
  <c r="H746" i="1"/>
  <c r="H747" i="1" a="1"/>
  <c r="H747" i="1"/>
  <c r="H748" i="1" a="1"/>
  <c r="H748" i="1"/>
  <c r="H749" i="1" a="1"/>
  <c r="H749" i="1"/>
  <c r="H750" i="1" a="1"/>
  <c r="H750" i="1"/>
  <c r="H751" i="1" a="1"/>
  <c r="H751" i="1"/>
  <c r="H752" i="1" a="1"/>
  <c r="H752" i="1"/>
  <c r="H753" i="1" a="1"/>
  <c r="H753" i="1"/>
  <c r="H754" i="1" a="1"/>
  <c r="H754" i="1"/>
  <c r="H755" i="1" a="1"/>
  <c r="H755" i="1"/>
  <c r="H756" i="1" a="1"/>
  <c r="H756" i="1"/>
  <c r="H757" i="1" a="1"/>
  <c r="H757" i="1"/>
  <c r="H758" i="1" a="1"/>
  <c r="H758" i="1"/>
  <c r="H759" i="1" a="1"/>
  <c r="H759" i="1"/>
  <c r="H760" i="1" a="1"/>
  <c r="H760" i="1"/>
  <c r="H761" i="1" a="1"/>
  <c r="H761" i="1"/>
  <c r="H762" i="1" a="1"/>
  <c r="H762" i="1"/>
  <c r="H763" i="1" a="1"/>
  <c r="H763" i="1"/>
  <c r="H764" i="1" a="1"/>
  <c r="H764" i="1"/>
  <c r="H765" i="1" a="1"/>
  <c r="H765" i="1"/>
  <c r="H766" i="1" a="1"/>
  <c r="H766" i="1"/>
  <c r="H767" i="1" a="1"/>
  <c r="H767" i="1"/>
  <c r="H768" i="1" a="1"/>
  <c r="H768" i="1"/>
  <c r="H769" i="1" a="1"/>
  <c r="H769" i="1"/>
  <c r="H770" i="1" a="1"/>
  <c r="H770" i="1"/>
  <c r="H771" i="1" a="1"/>
  <c r="H771" i="1"/>
  <c r="H772" i="1" a="1"/>
  <c r="H772" i="1"/>
  <c r="H773" i="1" a="1"/>
  <c r="H773" i="1"/>
  <c r="H774" i="1" a="1"/>
  <c r="H774" i="1"/>
  <c r="H775" i="1" a="1"/>
  <c r="H775" i="1"/>
  <c r="H776" i="1" a="1"/>
  <c r="H776" i="1"/>
  <c r="H777" i="1" a="1"/>
  <c r="H777" i="1"/>
  <c r="H778" i="1" a="1"/>
  <c r="H778" i="1"/>
  <c r="H779" i="1" a="1"/>
  <c r="H779" i="1"/>
  <c r="H780" i="1" a="1"/>
  <c r="H780" i="1"/>
  <c r="H781" i="1" a="1"/>
  <c r="H781" i="1"/>
  <c r="H782" i="1" a="1"/>
  <c r="H782" i="1"/>
  <c r="H783" i="1" a="1"/>
  <c r="H783" i="1"/>
  <c r="H784" i="1" a="1"/>
  <c r="H784" i="1"/>
  <c r="H785" i="1" a="1"/>
  <c r="H785" i="1"/>
  <c r="H786" i="1" a="1"/>
  <c r="H786" i="1"/>
  <c r="H787" i="1" a="1"/>
  <c r="H787" i="1"/>
  <c r="H788" i="1" a="1"/>
  <c r="H788" i="1"/>
  <c r="H789" i="1" a="1"/>
  <c r="H789" i="1"/>
  <c r="H790" i="1" a="1"/>
  <c r="H790" i="1"/>
  <c r="H791" i="1" a="1"/>
  <c r="H791" i="1"/>
  <c r="H792" i="1" a="1"/>
  <c r="H792" i="1"/>
  <c r="H793" i="1" a="1"/>
  <c r="H793" i="1"/>
  <c r="H794" i="1" a="1"/>
  <c r="H794" i="1"/>
  <c r="H795" i="1" a="1"/>
  <c r="H795" i="1"/>
  <c r="H796" i="1" a="1"/>
  <c r="H796" i="1"/>
  <c r="H797" i="1" a="1"/>
  <c r="H797" i="1"/>
  <c r="H798" i="1" a="1"/>
  <c r="H798" i="1"/>
  <c r="H799" i="1" a="1"/>
  <c r="H799" i="1"/>
  <c r="H800" i="1" a="1"/>
  <c r="H800" i="1"/>
  <c r="H801" i="1" a="1"/>
  <c r="H801" i="1"/>
  <c r="H802" i="1" a="1"/>
  <c r="H802" i="1"/>
  <c r="H803" i="1" a="1"/>
  <c r="H803" i="1"/>
  <c r="H804" i="1" a="1"/>
  <c r="H804" i="1"/>
  <c r="H805" i="1" a="1"/>
  <c r="H805" i="1"/>
  <c r="H806" i="1" a="1"/>
  <c r="H806" i="1"/>
  <c r="H807" i="1" a="1"/>
  <c r="H807" i="1"/>
  <c r="H808" i="1" a="1"/>
  <c r="H808" i="1"/>
  <c r="H809" i="1" a="1"/>
  <c r="H809" i="1"/>
  <c r="H810" i="1" a="1"/>
  <c r="H810" i="1"/>
  <c r="H811" i="1" a="1"/>
  <c r="H811" i="1"/>
  <c r="H812" i="1" a="1"/>
  <c r="H812" i="1"/>
  <c r="H813" i="1" a="1"/>
  <c r="H813" i="1"/>
  <c r="H814" i="1" a="1"/>
  <c r="H814" i="1"/>
  <c r="H815" i="1" a="1"/>
  <c r="H815" i="1"/>
  <c r="H816" i="1" a="1"/>
  <c r="H816" i="1"/>
  <c r="H817" i="1" a="1"/>
  <c r="H817" i="1"/>
  <c r="H818" i="1" a="1"/>
  <c r="H818" i="1"/>
  <c r="H819" i="1" a="1"/>
  <c r="H819" i="1"/>
  <c r="H820" i="1" a="1"/>
  <c r="H820" i="1"/>
  <c r="H821" i="1" a="1"/>
  <c r="H821" i="1"/>
  <c r="H822" i="1" a="1"/>
  <c r="H822" i="1"/>
  <c r="H823" i="1" a="1"/>
  <c r="H823" i="1"/>
  <c r="H824" i="1" a="1"/>
  <c r="H824" i="1"/>
  <c r="H825" i="1" a="1"/>
  <c r="H825" i="1"/>
  <c r="H826" i="1" a="1"/>
  <c r="H826" i="1"/>
  <c r="H827" i="1" a="1"/>
  <c r="H827" i="1"/>
  <c r="H828" i="1" a="1"/>
  <c r="H828" i="1"/>
  <c r="H829" i="1" a="1"/>
  <c r="H829" i="1"/>
  <c r="H830" i="1" a="1"/>
  <c r="H830" i="1"/>
  <c r="H831" i="1" a="1"/>
  <c r="H831" i="1"/>
  <c r="H832" i="1" a="1"/>
  <c r="H832" i="1"/>
  <c r="H833" i="1" a="1"/>
  <c r="H833" i="1"/>
  <c r="H834" i="1" a="1"/>
  <c r="H834" i="1"/>
  <c r="H835" i="1" a="1"/>
  <c r="H835" i="1"/>
  <c r="H836" i="1" a="1"/>
  <c r="H836" i="1"/>
  <c r="H837" i="1" a="1"/>
  <c r="H837" i="1"/>
  <c r="H838" i="1" a="1"/>
  <c r="H838" i="1"/>
  <c r="H839" i="1" a="1"/>
  <c r="H839" i="1"/>
  <c r="H840" i="1" a="1"/>
  <c r="H840" i="1"/>
  <c r="H841" i="1" a="1"/>
  <c r="H841" i="1"/>
  <c r="H842" i="1" a="1"/>
  <c r="H842" i="1"/>
  <c r="H843" i="1" a="1"/>
  <c r="H843" i="1"/>
  <c r="H844" i="1" a="1"/>
  <c r="H844" i="1"/>
  <c r="H845" i="1" a="1"/>
  <c r="H845" i="1"/>
  <c r="H846" i="1" a="1"/>
  <c r="H846" i="1"/>
  <c r="H847" i="1" a="1"/>
  <c r="H847" i="1"/>
  <c r="H848" i="1" a="1"/>
  <c r="H848" i="1"/>
  <c r="H849" i="1" a="1"/>
  <c r="H849" i="1"/>
  <c r="H850" i="1" a="1"/>
  <c r="H850" i="1"/>
  <c r="H851" i="1" a="1"/>
  <c r="H851" i="1"/>
  <c r="H852" i="1" a="1"/>
  <c r="H852" i="1"/>
  <c r="H853" i="1" a="1"/>
  <c r="H853" i="1"/>
  <c r="H854" i="1" a="1"/>
  <c r="H854" i="1"/>
  <c r="H855" i="1" a="1"/>
  <c r="H855" i="1"/>
  <c r="H856" i="1" a="1"/>
  <c r="H856" i="1"/>
  <c r="H857" i="1" a="1"/>
  <c r="H857" i="1"/>
  <c r="H858" i="1" a="1"/>
  <c r="H858" i="1"/>
  <c r="H859" i="1" a="1"/>
  <c r="H859" i="1"/>
  <c r="H860" i="1" a="1"/>
  <c r="H860" i="1"/>
  <c r="H861" i="1" a="1"/>
  <c r="H861" i="1"/>
  <c r="H862" i="1" a="1"/>
  <c r="H862" i="1"/>
  <c r="H863" i="1" a="1"/>
  <c r="H863" i="1"/>
  <c r="H864" i="1" a="1"/>
  <c r="H864" i="1"/>
  <c r="H865" i="1" a="1"/>
  <c r="H865" i="1"/>
  <c r="H866" i="1" a="1"/>
  <c r="H866" i="1"/>
  <c r="H867" i="1" a="1"/>
  <c r="H867" i="1"/>
  <c r="H868" i="1" a="1"/>
  <c r="H868" i="1"/>
  <c r="H869" i="1" a="1"/>
  <c r="H869" i="1"/>
  <c r="H870" i="1" a="1"/>
  <c r="H870" i="1"/>
  <c r="H871" i="1" a="1"/>
  <c r="H871" i="1"/>
  <c r="H872" i="1" a="1"/>
  <c r="H872" i="1"/>
  <c r="H873" i="1" a="1"/>
  <c r="H873" i="1"/>
  <c r="H874" i="1" a="1"/>
  <c r="H874" i="1"/>
  <c r="H875" i="1" a="1"/>
  <c r="H875" i="1"/>
  <c r="H876" i="1" a="1"/>
  <c r="H876" i="1"/>
  <c r="H877" i="1" a="1"/>
  <c r="H877" i="1"/>
  <c r="H878" i="1" a="1"/>
  <c r="H878" i="1"/>
  <c r="H879" i="1" a="1"/>
  <c r="H879" i="1"/>
  <c r="H880" i="1" a="1"/>
  <c r="H880" i="1"/>
  <c r="H881" i="1" a="1"/>
  <c r="H881" i="1"/>
  <c r="H882" i="1" a="1"/>
  <c r="H882" i="1"/>
  <c r="H883" i="1" a="1"/>
  <c r="H883" i="1"/>
  <c r="H884" i="1" a="1"/>
  <c r="H884" i="1"/>
  <c r="H885" i="1" a="1"/>
  <c r="H885" i="1"/>
  <c r="H886" i="1" a="1"/>
  <c r="H886" i="1"/>
  <c r="H887" i="1" a="1"/>
  <c r="H887" i="1"/>
  <c r="H888" i="1" a="1"/>
  <c r="H888" i="1"/>
  <c r="H889" i="1" a="1"/>
  <c r="H889" i="1"/>
  <c r="H890" i="1" a="1"/>
  <c r="H890" i="1"/>
  <c r="H891" i="1" a="1"/>
  <c r="H891" i="1"/>
  <c r="H892" i="1" a="1"/>
  <c r="H892" i="1"/>
  <c r="H893" i="1" a="1"/>
  <c r="H893" i="1"/>
  <c r="H894" i="1" a="1"/>
  <c r="H894" i="1"/>
  <c r="H895" i="1" a="1"/>
  <c r="H895" i="1"/>
  <c r="H896" i="1" a="1"/>
  <c r="H896" i="1"/>
  <c r="H897" i="1" a="1"/>
  <c r="H897" i="1"/>
  <c r="H898" i="1" a="1"/>
  <c r="H898" i="1"/>
  <c r="H899" i="1" a="1"/>
  <c r="H899" i="1"/>
  <c r="H900" i="1" a="1"/>
  <c r="H900" i="1"/>
  <c r="H901" i="1" a="1"/>
  <c r="H901" i="1"/>
  <c r="H902" i="1" a="1"/>
  <c r="H902" i="1"/>
  <c r="H903" i="1" a="1"/>
  <c r="H903" i="1"/>
  <c r="H904" i="1" a="1"/>
  <c r="H904" i="1"/>
  <c r="H905" i="1" a="1"/>
  <c r="H905" i="1"/>
  <c r="H906" i="1" a="1"/>
  <c r="H906" i="1"/>
  <c r="H907" i="1" a="1"/>
  <c r="H907" i="1"/>
  <c r="H908" i="1" a="1"/>
  <c r="H908" i="1"/>
  <c r="H909" i="1" a="1"/>
  <c r="H909" i="1"/>
  <c r="H910" i="1" a="1"/>
  <c r="H910" i="1"/>
  <c r="H911" i="1" a="1"/>
  <c r="H911" i="1"/>
  <c r="H912" i="1" a="1"/>
  <c r="H912" i="1"/>
  <c r="H913" i="1" a="1"/>
  <c r="H913" i="1"/>
  <c r="H914" i="1" a="1"/>
  <c r="H914" i="1"/>
  <c r="H915" i="1" a="1"/>
  <c r="H915" i="1"/>
  <c r="H916" i="1" a="1"/>
  <c r="H916" i="1"/>
  <c r="H917" i="1" a="1"/>
  <c r="H917" i="1"/>
  <c r="H918" i="1" a="1"/>
  <c r="H918" i="1"/>
  <c r="H919" i="1" a="1"/>
  <c r="H919" i="1"/>
  <c r="H920" i="1" a="1"/>
  <c r="H920" i="1"/>
  <c r="H921" i="1" a="1"/>
  <c r="H921" i="1"/>
  <c r="H922" i="1" a="1"/>
  <c r="H922" i="1"/>
  <c r="H923" i="1" a="1"/>
  <c r="H923" i="1"/>
  <c r="H924" i="1" a="1"/>
  <c r="H924" i="1"/>
  <c r="H925" i="1" a="1"/>
  <c r="H925" i="1"/>
  <c r="H926" i="1" a="1"/>
  <c r="H926" i="1"/>
  <c r="H927" i="1" a="1"/>
  <c r="H927" i="1"/>
  <c r="H928" i="1" a="1"/>
  <c r="H928" i="1"/>
  <c r="H929" i="1" a="1"/>
  <c r="H929" i="1"/>
  <c r="H930" i="1" a="1"/>
  <c r="H930" i="1"/>
  <c r="H931" i="1" a="1"/>
  <c r="H931" i="1"/>
  <c r="H932" i="1" a="1"/>
  <c r="H932" i="1"/>
  <c r="H933" i="1" a="1"/>
  <c r="H933" i="1"/>
  <c r="H934" i="1" a="1"/>
  <c r="H934" i="1"/>
  <c r="H935" i="1" a="1"/>
  <c r="H935" i="1"/>
  <c r="H936" i="1" a="1"/>
  <c r="H936" i="1"/>
  <c r="H937" i="1" a="1"/>
  <c r="H937" i="1"/>
  <c r="H938" i="1" a="1"/>
  <c r="H938" i="1"/>
  <c r="H939" i="1" a="1"/>
  <c r="H939" i="1"/>
  <c r="H940" i="1" a="1"/>
  <c r="H940" i="1"/>
  <c r="H941" i="1" a="1"/>
  <c r="H941" i="1"/>
  <c r="H942" i="1" a="1"/>
  <c r="H942" i="1"/>
  <c r="H943" i="1" a="1"/>
  <c r="H943" i="1"/>
  <c r="H944" i="1" a="1"/>
  <c r="H944" i="1"/>
  <c r="H945" i="1" a="1"/>
  <c r="H945" i="1"/>
  <c r="H946" i="1" a="1"/>
  <c r="H946" i="1"/>
  <c r="H947" i="1" a="1"/>
  <c r="H947" i="1"/>
  <c r="H948" i="1" a="1"/>
  <c r="H948" i="1"/>
  <c r="H949" i="1" a="1"/>
  <c r="H949" i="1"/>
  <c r="H950" i="1" a="1"/>
  <c r="H950" i="1"/>
  <c r="H951" i="1" a="1"/>
  <c r="H951" i="1"/>
  <c r="H952" i="1" a="1"/>
  <c r="H952" i="1"/>
  <c r="H953" i="1" a="1"/>
  <c r="H953" i="1"/>
  <c r="H954" i="1" a="1"/>
  <c r="H954" i="1"/>
  <c r="H955" i="1" a="1"/>
  <c r="H955" i="1"/>
  <c r="H956" i="1" a="1"/>
  <c r="H956" i="1"/>
  <c r="H957" i="1" a="1"/>
  <c r="H957" i="1"/>
  <c r="H958" i="1" a="1"/>
  <c r="H958" i="1"/>
  <c r="H959" i="1" a="1"/>
  <c r="H959" i="1"/>
  <c r="H960" i="1" a="1"/>
  <c r="H960" i="1"/>
  <c r="H961" i="1" a="1"/>
  <c r="H961" i="1"/>
  <c r="H962" i="1" a="1"/>
  <c r="H962" i="1"/>
  <c r="H963" i="1" a="1"/>
  <c r="H963" i="1"/>
  <c r="H964" i="1" a="1"/>
  <c r="H964" i="1"/>
  <c r="H965" i="1" a="1"/>
  <c r="H965" i="1"/>
  <c r="H966" i="1" a="1"/>
  <c r="H966" i="1"/>
  <c r="H967" i="1" a="1"/>
  <c r="H967" i="1"/>
  <c r="H968" i="1" a="1"/>
  <c r="H968" i="1"/>
  <c r="H969" i="1" a="1"/>
  <c r="H969" i="1"/>
  <c r="H970" i="1" a="1"/>
  <c r="H970" i="1"/>
  <c r="H971" i="1" a="1"/>
  <c r="H971" i="1"/>
  <c r="H972" i="1" a="1"/>
  <c r="H972" i="1"/>
  <c r="H973" i="1" a="1"/>
  <c r="H973" i="1"/>
  <c r="H974" i="1" a="1"/>
  <c r="H974" i="1"/>
  <c r="H975" i="1" a="1"/>
  <c r="H975" i="1"/>
  <c r="H976" i="1" a="1"/>
  <c r="H976" i="1"/>
  <c r="H977" i="1" a="1"/>
  <c r="H977" i="1"/>
  <c r="H978" i="1" a="1"/>
  <c r="H978" i="1"/>
  <c r="H979" i="1" a="1"/>
  <c r="H979" i="1"/>
  <c r="H980" i="1" a="1"/>
  <c r="H980" i="1"/>
  <c r="H981" i="1" a="1"/>
  <c r="H981" i="1"/>
  <c r="H982" i="1" a="1"/>
  <c r="H982" i="1"/>
  <c r="H983" i="1" a="1"/>
  <c r="H983" i="1"/>
  <c r="H984" i="1" a="1"/>
  <c r="H984" i="1"/>
  <c r="H985" i="1" a="1"/>
  <c r="H985" i="1"/>
  <c r="H986" i="1" a="1"/>
  <c r="H986" i="1"/>
  <c r="H987" i="1" a="1"/>
  <c r="H987" i="1"/>
  <c r="H988" i="1" a="1"/>
  <c r="H988" i="1"/>
  <c r="H989" i="1" a="1"/>
  <c r="H989" i="1"/>
  <c r="H990" i="1" a="1"/>
  <c r="H990" i="1"/>
  <c r="H991" i="1" a="1"/>
  <c r="H991" i="1"/>
  <c r="H992" i="1" a="1"/>
  <c r="H992" i="1"/>
  <c r="H993" i="1" a="1"/>
  <c r="H993" i="1"/>
  <c r="H994" i="1" a="1"/>
  <c r="H994" i="1"/>
  <c r="H995" i="1" a="1"/>
  <c r="H995" i="1"/>
  <c r="H996" i="1" a="1"/>
  <c r="H996" i="1"/>
  <c r="H997" i="1" a="1"/>
  <c r="H997" i="1"/>
  <c r="H998" i="1" a="1"/>
  <c r="H998" i="1"/>
  <c r="H999" i="1" a="1"/>
  <c r="H999" i="1"/>
  <c r="H1000" i="1" a="1"/>
  <c r="H1000" i="1"/>
  <c r="H1001" i="1" a="1"/>
  <c r="H1001" i="1"/>
  <c r="A14" i="2"/>
  <c r="A12" i="2"/>
  <c r="C2" i="2" a="1"/>
  <c r="C2" i="2"/>
  <c r="C3" i="2"/>
  <c r="C4" i="2"/>
  <c r="C5" i="2"/>
  <c r="C6" i="2"/>
  <c r="C7" i="2"/>
  <c r="C8" i="2"/>
  <c r="C9" i="2"/>
  <c r="C10" i="2"/>
  <c r="B2" i="2"/>
  <c r="B3" i="2"/>
  <c r="D3" i="2" s="1"/>
  <c r="B4" i="2"/>
  <c r="D4" i="2" s="1"/>
  <c r="B5" i="2"/>
  <c r="D5" i="2" s="1"/>
  <c r="B6" i="2"/>
  <c r="D6" i="2" s="1"/>
  <c r="B7" i="2"/>
  <c r="D7" i="2" s="1"/>
  <c r="B8" i="2"/>
  <c r="D8" i="2" s="1"/>
  <c r="B9" i="2"/>
  <c r="D9" i="2" s="1"/>
  <c r="B10" i="2"/>
  <c r="D10" i="2" s="1"/>
  <c r="B2" i="1"/>
  <c r="C2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S13" i="1"/>
  <c r="S12" i="1"/>
  <c r="S11" i="1"/>
  <c r="R13" i="1"/>
  <c r="R12" i="1"/>
  <c r="M2" i="1"/>
  <c r="R11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3" i="1"/>
  <c r="M4" i="1"/>
  <c r="M5" i="1"/>
  <c r="M6" i="1"/>
  <c r="Q12" i="1" s="1"/>
  <c r="B14" i="2" l="1"/>
  <c r="C14" i="2"/>
  <c r="B12" i="2"/>
  <c r="D2" i="2"/>
  <c r="C12" i="2"/>
  <c r="T13" i="1"/>
  <c r="Q13" i="1"/>
  <c r="T11" i="1"/>
  <c r="Q11" i="1"/>
  <c r="Q10" i="1"/>
  <c r="T12" i="1"/>
  <c r="T10" i="1"/>
  <c r="O6" i="1"/>
  <c r="N6" i="1"/>
  <c r="O5" i="1"/>
  <c r="N5" i="1"/>
  <c r="O4" i="1"/>
  <c r="N4" i="1"/>
  <c r="O3" i="1"/>
  <c r="N3" i="1"/>
  <c r="O1001" i="1"/>
  <c r="N1001" i="1"/>
  <c r="O1000" i="1"/>
  <c r="N1000" i="1"/>
  <c r="O999" i="1"/>
  <c r="N999" i="1"/>
  <c r="O998" i="1"/>
  <c r="N998" i="1"/>
  <c r="O997" i="1"/>
  <c r="N997" i="1"/>
  <c r="O996" i="1"/>
  <c r="N996" i="1"/>
  <c r="O995" i="1"/>
  <c r="N995" i="1"/>
  <c r="O994" i="1"/>
  <c r="N994" i="1"/>
  <c r="O993" i="1"/>
  <c r="N993" i="1"/>
  <c r="O992" i="1"/>
  <c r="N992" i="1"/>
  <c r="O991" i="1"/>
  <c r="N991" i="1"/>
  <c r="O990" i="1"/>
  <c r="N990" i="1"/>
  <c r="O989" i="1"/>
  <c r="N989" i="1"/>
  <c r="O988" i="1"/>
  <c r="N988" i="1"/>
  <c r="O987" i="1"/>
  <c r="N987" i="1"/>
  <c r="O986" i="1"/>
  <c r="N986" i="1"/>
  <c r="O985" i="1"/>
  <c r="N985" i="1"/>
  <c r="O984" i="1"/>
  <c r="N984" i="1"/>
  <c r="O983" i="1"/>
  <c r="N983" i="1"/>
  <c r="O982" i="1"/>
  <c r="N982" i="1"/>
  <c r="O981" i="1"/>
  <c r="N981" i="1"/>
  <c r="O980" i="1"/>
  <c r="N980" i="1"/>
  <c r="O979" i="1"/>
  <c r="N979" i="1"/>
  <c r="O978" i="1"/>
  <c r="N978" i="1"/>
  <c r="O977" i="1"/>
  <c r="N977" i="1"/>
  <c r="O976" i="1"/>
  <c r="N976" i="1"/>
  <c r="O975" i="1"/>
  <c r="N975" i="1"/>
  <c r="O974" i="1"/>
  <c r="N97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67" i="1"/>
  <c r="N967" i="1"/>
  <c r="O966" i="1"/>
  <c r="N966" i="1"/>
  <c r="O965" i="1"/>
  <c r="N965" i="1"/>
  <c r="O964" i="1"/>
  <c r="N964" i="1"/>
  <c r="O963" i="1"/>
  <c r="N963" i="1"/>
  <c r="O962" i="1"/>
  <c r="N962" i="1"/>
  <c r="O961" i="1"/>
  <c r="N961" i="1"/>
  <c r="O960" i="1"/>
  <c r="N960" i="1"/>
  <c r="O959" i="1"/>
  <c r="N959" i="1"/>
  <c r="O958" i="1"/>
  <c r="N958" i="1"/>
  <c r="O957" i="1"/>
  <c r="N957" i="1"/>
  <c r="O956" i="1"/>
  <c r="N956" i="1"/>
  <c r="O955" i="1"/>
  <c r="N955" i="1"/>
  <c r="O954" i="1"/>
  <c r="N954" i="1"/>
  <c r="O953" i="1"/>
  <c r="N953" i="1"/>
  <c r="O952" i="1"/>
  <c r="N952" i="1"/>
  <c r="O951" i="1"/>
  <c r="N951" i="1"/>
  <c r="O950" i="1"/>
  <c r="N950" i="1"/>
  <c r="O949" i="1"/>
  <c r="N949" i="1"/>
  <c r="O948" i="1"/>
  <c r="N948" i="1"/>
  <c r="O947" i="1"/>
  <c r="N947" i="1"/>
  <c r="O946" i="1"/>
  <c r="N946" i="1"/>
  <c r="O945" i="1"/>
  <c r="N945" i="1"/>
  <c r="O944" i="1"/>
  <c r="N944" i="1"/>
  <c r="O943" i="1"/>
  <c r="N943" i="1"/>
  <c r="O942" i="1"/>
  <c r="N942" i="1"/>
  <c r="O941" i="1"/>
  <c r="N941" i="1"/>
  <c r="O940" i="1"/>
  <c r="N940" i="1"/>
  <c r="O939" i="1"/>
  <c r="N939" i="1"/>
  <c r="O938" i="1"/>
  <c r="N938" i="1"/>
  <c r="O937" i="1"/>
  <c r="N937" i="1"/>
  <c r="O936" i="1"/>
  <c r="N936" i="1"/>
  <c r="O935" i="1"/>
  <c r="N935" i="1"/>
  <c r="O934" i="1"/>
  <c r="N934" i="1"/>
  <c r="O933" i="1"/>
  <c r="N933" i="1"/>
  <c r="O932" i="1"/>
  <c r="N932" i="1"/>
  <c r="O931" i="1"/>
  <c r="N931" i="1"/>
  <c r="O930" i="1"/>
  <c r="N930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19" i="1"/>
  <c r="N919" i="1"/>
  <c r="O918" i="1"/>
  <c r="N918" i="1"/>
  <c r="O917" i="1"/>
  <c r="N917" i="1"/>
  <c r="O916" i="1"/>
  <c r="N916" i="1"/>
  <c r="O915" i="1"/>
  <c r="N915" i="1"/>
  <c r="O914" i="1"/>
  <c r="N914" i="1"/>
  <c r="O913" i="1"/>
  <c r="N913" i="1"/>
  <c r="O912" i="1"/>
  <c r="N912" i="1"/>
  <c r="O911" i="1"/>
  <c r="N911" i="1"/>
  <c r="O910" i="1"/>
  <c r="N910" i="1"/>
  <c r="O909" i="1"/>
  <c r="N909" i="1"/>
  <c r="O908" i="1"/>
  <c r="N908" i="1"/>
  <c r="O907" i="1"/>
  <c r="N907" i="1"/>
  <c r="O906" i="1"/>
  <c r="N906" i="1"/>
  <c r="O905" i="1"/>
  <c r="N905" i="1"/>
  <c r="O904" i="1"/>
  <c r="N904" i="1"/>
  <c r="O903" i="1"/>
  <c r="N903" i="1"/>
  <c r="O902" i="1"/>
  <c r="N902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95" i="1"/>
  <c r="N895" i="1"/>
  <c r="O894" i="1"/>
  <c r="N894" i="1"/>
  <c r="O893" i="1"/>
  <c r="N893" i="1"/>
  <c r="O892" i="1"/>
  <c r="N892" i="1"/>
  <c r="O891" i="1"/>
  <c r="N891" i="1"/>
  <c r="O890" i="1"/>
  <c r="N890" i="1"/>
  <c r="O889" i="1"/>
  <c r="N889" i="1"/>
  <c r="O888" i="1"/>
  <c r="N888" i="1"/>
  <c r="O887" i="1"/>
  <c r="N887" i="1"/>
  <c r="O886" i="1"/>
  <c r="N886" i="1"/>
  <c r="O885" i="1"/>
  <c r="N885" i="1"/>
  <c r="O884" i="1"/>
  <c r="N884" i="1"/>
  <c r="O883" i="1"/>
  <c r="N883" i="1"/>
  <c r="O882" i="1"/>
  <c r="N882" i="1"/>
  <c r="O881" i="1"/>
  <c r="N881" i="1"/>
  <c r="O880" i="1"/>
  <c r="N880" i="1"/>
  <c r="O879" i="1"/>
  <c r="N879" i="1"/>
  <c r="O878" i="1"/>
  <c r="N878" i="1"/>
  <c r="O877" i="1"/>
  <c r="N877" i="1"/>
  <c r="O876" i="1"/>
  <c r="N876" i="1"/>
  <c r="O875" i="1"/>
  <c r="N875" i="1"/>
  <c r="O874" i="1"/>
  <c r="N874" i="1"/>
  <c r="O873" i="1"/>
  <c r="N873" i="1"/>
  <c r="O872" i="1"/>
  <c r="N872" i="1"/>
  <c r="O871" i="1"/>
  <c r="N871" i="1"/>
  <c r="O870" i="1"/>
  <c r="N870" i="1"/>
  <c r="O869" i="1"/>
  <c r="N869" i="1"/>
  <c r="O868" i="1"/>
  <c r="N868" i="1"/>
  <c r="O867" i="1"/>
  <c r="N867" i="1"/>
  <c r="O866" i="1"/>
  <c r="N866" i="1"/>
  <c r="O865" i="1"/>
  <c r="N865" i="1"/>
  <c r="O864" i="1"/>
  <c r="N864" i="1"/>
  <c r="O863" i="1"/>
  <c r="N863" i="1"/>
  <c r="O862" i="1"/>
  <c r="N862" i="1"/>
  <c r="O861" i="1"/>
  <c r="N861" i="1"/>
  <c r="O860" i="1"/>
  <c r="N860" i="1"/>
  <c r="O859" i="1"/>
  <c r="N859" i="1"/>
  <c r="O858" i="1"/>
  <c r="N858" i="1"/>
  <c r="O857" i="1"/>
  <c r="N857" i="1"/>
  <c r="O856" i="1"/>
  <c r="N856" i="1"/>
  <c r="O855" i="1"/>
  <c r="N855" i="1"/>
  <c r="O854" i="1"/>
  <c r="N854" i="1"/>
  <c r="O853" i="1"/>
  <c r="N853" i="1"/>
  <c r="O852" i="1"/>
  <c r="N852" i="1"/>
  <c r="O851" i="1"/>
  <c r="N851" i="1"/>
  <c r="O850" i="1"/>
  <c r="N850" i="1"/>
  <c r="O849" i="1"/>
  <c r="N849" i="1"/>
  <c r="O848" i="1"/>
  <c r="N848" i="1"/>
  <c r="O847" i="1"/>
  <c r="N847" i="1"/>
  <c r="O846" i="1"/>
  <c r="N846" i="1"/>
  <c r="O845" i="1"/>
  <c r="N845" i="1"/>
  <c r="O844" i="1"/>
  <c r="N844" i="1"/>
  <c r="O843" i="1"/>
  <c r="N843" i="1"/>
  <c r="O842" i="1"/>
  <c r="N842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835" i="1"/>
  <c r="N835" i="1"/>
  <c r="O834" i="1"/>
  <c r="N834" i="1"/>
  <c r="O833" i="1"/>
  <c r="N833" i="1"/>
  <c r="O832" i="1"/>
  <c r="N832" i="1"/>
  <c r="O831" i="1"/>
  <c r="N831" i="1"/>
  <c r="O830" i="1"/>
  <c r="N830" i="1"/>
  <c r="O829" i="1"/>
  <c r="N829" i="1"/>
  <c r="O828" i="1"/>
  <c r="N828" i="1"/>
  <c r="O827" i="1"/>
  <c r="N827" i="1"/>
  <c r="O826" i="1"/>
  <c r="N826" i="1"/>
  <c r="O825" i="1"/>
  <c r="N825" i="1"/>
  <c r="O824" i="1"/>
  <c r="N824" i="1"/>
  <c r="O823" i="1"/>
  <c r="N823" i="1"/>
  <c r="O822" i="1"/>
  <c r="N822" i="1"/>
  <c r="O821" i="1"/>
  <c r="N821" i="1"/>
  <c r="O820" i="1"/>
  <c r="N820" i="1"/>
  <c r="O819" i="1"/>
  <c r="N819" i="1"/>
  <c r="O818" i="1"/>
  <c r="N818" i="1"/>
  <c r="O817" i="1"/>
  <c r="N817" i="1"/>
  <c r="O816" i="1"/>
  <c r="N816" i="1"/>
  <c r="O815" i="1"/>
  <c r="N815" i="1"/>
  <c r="O814" i="1"/>
  <c r="N814" i="1"/>
  <c r="O813" i="1"/>
  <c r="N813" i="1"/>
  <c r="O812" i="1"/>
  <c r="N812" i="1"/>
  <c r="O811" i="1"/>
  <c r="N811" i="1"/>
  <c r="O810" i="1"/>
  <c r="N810" i="1"/>
  <c r="O809" i="1"/>
  <c r="N809" i="1"/>
  <c r="O808" i="1"/>
  <c r="N808" i="1"/>
  <c r="O807" i="1"/>
  <c r="N807" i="1"/>
  <c r="O806" i="1"/>
  <c r="N806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799" i="1"/>
  <c r="N799" i="1"/>
  <c r="O798" i="1"/>
  <c r="N798" i="1"/>
  <c r="O797" i="1"/>
  <c r="N797" i="1"/>
  <c r="O796" i="1"/>
  <c r="N796" i="1"/>
  <c r="O795" i="1"/>
  <c r="N795" i="1"/>
  <c r="O794" i="1"/>
  <c r="N794" i="1"/>
  <c r="O793" i="1"/>
  <c r="N793" i="1"/>
  <c r="O792" i="1"/>
  <c r="N792" i="1"/>
  <c r="O791" i="1"/>
  <c r="N791" i="1"/>
  <c r="O790" i="1"/>
  <c r="N790" i="1"/>
  <c r="O789" i="1"/>
  <c r="N789" i="1"/>
  <c r="O788" i="1"/>
  <c r="N788" i="1"/>
  <c r="O787" i="1"/>
  <c r="N787" i="1"/>
  <c r="O786" i="1"/>
  <c r="N786" i="1"/>
  <c r="O785" i="1"/>
  <c r="N785" i="1"/>
  <c r="O784" i="1"/>
  <c r="N784" i="1"/>
  <c r="O783" i="1"/>
  <c r="N783" i="1"/>
  <c r="O782" i="1"/>
  <c r="N782" i="1"/>
  <c r="O781" i="1"/>
  <c r="N781" i="1"/>
  <c r="O780" i="1"/>
  <c r="N780" i="1"/>
  <c r="O779" i="1"/>
  <c r="N779" i="1"/>
  <c r="O778" i="1"/>
  <c r="N778" i="1"/>
  <c r="O777" i="1"/>
  <c r="N777" i="1"/>
  <c r="O776" i="1"/>
  <c r="N776" i="1"/>
  <c r="O775" i="1"/>
  <c r="N775" i="1"/>
  <c r="O774" i="1"/>
  <c r="N774" i="1"/>
  <c r="O773" i="1"/>
  <c r="N773" i="1"/>
  <c r="O772" i="1"/>
  <c r="N772" i="1"/>
  <c r="O771" i="1"/>
  <c r="N771" i="1"/>
  <c r="O770" i="1"/>
  <c r="N770" i="1"/>
  <c r="O769" i="1"/>
  <c r="N769" i="1"/>
  <c r="O768" i="1"/>
  <c r="N768" i="1"/>
  <c r="O767" i="1"/>
  <c r="N767" i="1"/>
  <c r="O766" i="1"/>
  <c r="N766" i="1"/>
  <c r="O765" i="1"/>
  <c r="N765" i="1"/>
  <c r="O764" i="1"/>
  <c r="N764" i="1"/>
  <c r="O763" i="1"/>
  <c r="N763" i="1"/>
  <c r="O762" i="1"/>
  <c r="N762" i="1"/>
  <c r="O761" i="1"/>
  <c r="N761" i="1"/>
  <c r="O760" i="1"/>
  <c r="N760" i="1"/>
  <c r="O759" i="1"/>
  <c r="N759" i="1"/>
  <c r="O758" i="1"/>
  <c r="N758" i="1"/>
  <c r="O757" i="1"/>
  <c r="N757" i="1"/>
  <c r="O756" i="1"/>
  <c r="N756" i="1"/>
  <c r="O755" i="1"/>
  <c r="N755" i="1"/>
  <c r="O754" i="1"/>
  <c r="N754" i="1"/>
  <c r="O753" i="1"/>
  <c r="N753" i="1"/>
  <c r="O752" i="1"/>
  <c r="N752" i="1"/>
  <c r="O751" i="1"/>
  <c r="N751" i="1"/>
  <c r="O750" i="1"/>
  <c r="N750" i="1"/>
  <c r="O749" i="1"/>
  <c r="N749" i="1"/>
  <c r="O748" i="1"/>
  <c r="N748" i="1"/>
  <c r="O747" i="1"/>
  <c r="N747" i="1"/>
  <c r="O746" i="1"/>
  <c r="N746" i="1"/>
  <c r="O745" i="1"/>
  <c r="N745" i="1"/>
  <c r="O744" i="1"/>
  <c r="N744" i="1"/>
  <c r="O743" i="1"/>
  <c r="N743" i="1"/>
  <c r="O742" i="1"/>
  <c r="N742" i="1"/>
  <c r="O741" i="1"/>
  <c r="N741" i="1"/>
  <c r="O740" i="1"/>
  <c r="N740" i="1"/>
  <c r="O739" i="1"/>
  <c r="N739" i="1"/>
  <c r="O738" i="1"/>
  <c r="N738" i="1"/>
  <c r="O737" i="1"/>
  <c r="N737" i="1"/>
  <c r="O736" i="1"/>
  <c r="N736" i="1"/>
  <c r="O735" i="1"/>
  <c r="N735" i="1"/>
  <c r="O734" i="1"/>
  <c r="N734" i="1"/>
  <c r="O733" i="1"/>
  <c r="N733" i="1"/>
  <c r="O732" i="1"/>
  <c r="N732" i="1"/>
  <c r="O731" i="1"/>
  <c r="N731" i="1"/>
  <c r="O730" i="1"/>
  <c r="N730" i="1"/>
  <c r="O729" i="1"/>
  <c r="N729" i="1"/>
  <c r="O728" i="1"/>
  <c r="N728" i="1"/>
  <c r="O727" i="1"/>
  <c r="N727" i="1"/>
  <c r="O726" i="1"/>
  <c r="N726" i="1"/>
  <c r="O725" i="1"/>
  <c r="N725" i="1"/>
  <c r="O724" i="1"/>
  <c r="N724" i="1"/>
  <c r="O723" i="1"/>
  <c r="N723" i="1"/>
  <c r="O722" i="1"/>
  <c r="N722" i="1"/>
  <c r="O721" i="1"/>
  <c r="N721" i="1"/>
  <c r="O720" i="1"/>
  <c r="N720" i="1"/>
  <c r="O719" i="1"/>
  <c r="N719" i="1"/>
  <c r="O718" i="1"/>
  <c r="N718" i="1"/>
  <c r="O717" i="1"/>
  <c r="N717" i="1"/>
  <c r="O716" i="1"/>
  <c r="N716" i="1"/>
  <c r="O715" i="1"/>
  <c r="N715" i="1"/>
  <c r="O714" i="1"/>
  <c r="N714" i="1"/>
  <c r="O713" i="1"/>
  <c r="N713" i="1"/>
  <c r="O712" i="1"/>
  <c r="N712" i="1"/>
  <c r="O711" i="1"/>
  <c r="N711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704" i="1"/>
  <c r="N704" i="1"/>
  <c r="O703" i="1"/>
  <c r="N703" i="1"/>
  <c r="O702" i="1"/>
  <c r="N702" i="1"/>
  <c r="O701" i="1"/>
  <c r="N701" i="1"/>
  <c r="O700" i="1"/>
  <c r="N700" i="1"/>
  <c r="O699" i="1"/>
  <c r="N699" i="1"/>
  <c r="O698" i="1"/>
  <c r="N698" i="1"/>
  <c r="O697" i="1"/>
  <c r="N697" i="1"/>
  <c r="O696" i="1"/>
  <c r="N696" i="1"/>
  <c r="O695" i="1"/>
  <c r="N695" i="1"/>
  <c r="O694" i="1"/>
  <c r="N694" i="1"/>
  <c r="O693" i="1"/>
  <c r="N693" i="1"/>
  <c r="O692" i="1"/>
  <c r="N692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683" i="1"/>
  <c r="N683" i="1"/>
  <c r="O682" i="1"/>
  <c r="N682" i="1"/>
  <c r="O681" i="1"/>
  <c r="N681" i="1"/>
  <c r="O680" i="1"/>
  <c r="N680" i="1"/>
  <c r="O679" i="1"/>
  <c r="N679" i="1"/>
  <c r="O678" i="1"/>
  <c r="N678" i="1"/>
  <c r="O677" i="1"/>
  <c r="N677" i="1"/>
  <c r="O676" i="1"/>
  <c r="N676" i="1"/>
  <c r="O675" i="1"/>
  <c r="N675" i="1"/>
  <c r="O674" i="1"/>
  <c r="N674" i="1"/>
  <c r="O673" i="1"/>
  <c r="N673" i="1"/>
  <c r="O672" i="1"/>
  <c r="N672" i="1"/>
  <c r="O671" i="1"/>
  <c r="N671" i="1"/>
  <c r="O670" i="1"/>
  <c r="N670" i="1"/>
  <c r="O669" i="1"/>
  <c r="N669" i="1"/>
  <c r="O668" i="1"/>
  <c r="N668" i="1"/>
  <c r="O667" i="1"/>
  <c r="N667" i="1"/>
  <c r="O666" i="1"/>
  <c r="N666" i="1"/>
  <c r="O665" i="1"/>
  <c r="N665" i="1"/>
  <c r="O664" i="1"/>
  <c r="N664" i="1"/>
  <c r="O663" i="1"/>
  <c r="N663" i="1"/>
  <c r="O662" i="1"/>
  <c r="N662" i="1"/>
  <c r="O661" i="1"/>
  <c r="N661" i="1"/>
  <c r="O660" i="1"/>
  <c r="N660" i="1"/>
  <c r="O659" i="1"/>
  <c r="N659" i="1"/>
  <c r="O658" i="1"/>
  <c r="N658" i="1"/>
  <c r="O657" i="1"/>
  <c r="N657" i="1"/>
  <c r="O656" i="1"/>
  <c r="N656" i="1"/>
  <c r="O655" i="1"/>
  <c r="N655" i="1"/>
  <c r="O654" i="1"/>
  <c r="N654" i="1"/>
  <c r="O653" i="1"/>
  <c r="N653" i="1"/>
  <c r="O652" i="1"/>
  <c r="N652" i="1"/>
  <c r="O651" i="1"/>
  <c r="N651" i="1"/>
  <c r="O650" i="1"/>
  <c r="N650" i="1"/>
  <c r="O649" i="1"/>
  <c r="N649" i="1"/>
  <c r="O648" i="1"/>
  <c r="N648" i="1"/>
  <c r="O647" i="1"/>
  <c r="N647" i="1"/>
  <c r="O646" i="1"/>
  <c r="N646" i="1"/>
  <c r="O645" i="1"/>
  <c r="N645" i="1"/>
  <c r="O644" i="1"/>
  <c r="N644" i="1"/>
  <c r="O643" i="1"/>
  <c r="N643" i="1"/>
  <c r="O642" i="1"/>
  <c r="N642" i="1"/>
  <c r="O641" i="1"/>
  <c r="N641" i="1"/>
  <c r="O640" i="1"/>
  <c r="N640" i="1"/>
  <c r="O639" i="1"/>
  <c r="N639" i="1"/>
  <c r="O638" i="1"/>
  <c r="N638" i="1"/>
  <c r="O637" i="1"/>
  <c r="N637" i="1"/>
  <c r="O636" i="1"/>
  <c r="N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8" i="1"/>
  <c r="N628" i="1"/>
  <c r="O627" i="1"/>
  <c r="N627" i="1"/>
  <c r="O626" i="1"/>
  <c r="N626" i="1"/>
  <c r="O625" i="1"/>
  <c r="N625" i="1"/>
  <c r="O624" i="1"/>
  <c r="N624" i="1"/>
  <c r="O623" i="1"/>
  <c r="N623" i="1"/>
  <c r="O622" i="1"/>
  <c r="N622" i="1"/>
  <c r="O621" i="1"/>
  <c r="N621" i="1"/>
  <c r="O620" i="1"/>
  <c r="N620" i="1"/>
  <c r="O619" i="1"/>
  <c r="N619" i="1"/>
  <c r="O618" i="1"/>
  <c r="N618" i="1"/>
  <c r="O617" i="1"/>
  <c r="N617" i="1"/>
  <c r="O616" i="1"/>
  <c r="N616" i="1"/>
  <c r="O615" i="1"/>
  <c r="N615" i="1"/>
  <c r="O614" i="1"/>
  <c r="N614" i="1"/>
  <c r="O613" i="1"/>
  <c r="N613" i="1"/>
  <c r="O612" i="1"/>
  <c r="N612" i="1"/>
  <c r="O611" i="1"/>
  <c r="N611" i="1"/>
  <c r="O610" i="1"/>
  <c r="N610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600" i="1"/>
  <c r="N600" i="1"/>
  <c r="O599" i="1"/>
  <c r="N599" i="1"/>
  <c r="O598" i="1"/>
  <c r="N598" i="1"/>
  <c r="O597" i="1"/>
  <c r="N597" i="1"/>
  <c r="O596" i="1"/>
  <c r="N596" i="1"/>
  <c r="O595" i="1"/>
  <c r="N595" i="1"/>
  <c r="O594" i="1"/>
  <c r="N594" i="1"/>
  <c r="O593" i="1"/>
  <c r="N593" i="1"/>
  <c r="O592" i="1"/>
  <c r="N592" i="1"/>
  <c r="O591" i="1"/>
  <c r="N591" i="1"/>
  <c r="O590" i="1"/>
  <c r="N590" i="1"/>
  <c r="O589" i="1"/>
  <c r="N589" i="1"/>
  <c r="O588" i="1"/>
  <c r="N588" i="1"/>
  <c r="O587" i="1"/>
  <c r="N587" i="1"/>
  <c r="O586" i="1"/>
  <c r="N586" i="1"/>
  <c r="O585" i="1"/>
  <c r="N585" i="1"/>
  <c r="O584" i="1"/>
  <c r="N584" i="1"/>
  <c r="O583" i="1"/>
  <c r="N583" i="1"/>
  <c r="O582" i="1"/>
  <c r="N582" i="1"/>
  <c r="O581" i="1"/>
  <c r="N581" i="1"/>
  <c r="O580" i="1"/>
  <c r="N580" i="1"/>
  <c r="O579" i="1"/>
  <c r="N579" i="1"/>
  <c r="O578" i="1"/>
  <c r="N578" i="1"/>
  <c r="O577" i="1"/>
  <c r="N577" i="1"/>
  <c r="O576" i="1"/>
  <c r="N576" i="1"/>
  <c r="O575" i="1"/>
  <c r="N575" i="1"/>
  <c r="O574" i="1"/>
  <c r="N574" i="1"/>
  <c r="O573" i="1"/>
  <c r="N573" i="1"/>
  <c r="O572" i="1"/>
  <c r="N572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565" i="1"/>
  <c r="N565" i="1"/>
  <c r="O564" i="1"/>
  <c r="N564" i="1"/>
  <c r="O563" i="1"/>
  <c r="N563" i="1"/>
  <c r="O562" i="1"/>
  <c r="N562" i="1"/>
  <c r="O561" i="1"/>
  <c r="N561" i="1"/>
  <c r="O560" i="1"/>
  <c r="N560" i="1"/>
  <c r="O559" i="1"/>
  <c r="N559" i="1"/>
  <c r="O558" i="1"/>
  <c r="N558" i="1"/>
  <c r="O557" i="1"/>
  <c r="N557" i="1"/>
  <c r="O556" i="1"/>
  <c r="N556" i="1"/>
  <c r="O555" i="1"/>
  <c r="N555" i="1"/>
  <c r="O554" i="1"/>
  <c r="N554" i="1"/>
  <c r="O553" i="1"/>
  <c r="N553" i="1"/>
  <c r="O552" i="1"/>
  <c r="N552" i="1"/>
  <c r="O551" i="1"/>
  <c r="N551" i="1"/>
  <c r="O550" i="1"/>
  <c r="N550" i="1"/>
  <c r="O549" i="1"/>
  <c r="N549" i="1"/>
  <c r="O548" i="1"/>
  <c r="N548" i="1"/>
  <c r="O547" i="1"/>
  <c r="N547" i="1"/>
  <c r="O546" i="1"/>
  <c r="N546" i="1"/>
  <c r="O545" i="1"/>
  <c r="N545" i="1"/>
  <c r="O544" i="1"/>
  <c r="N544" i="1"/>
  <c r="O543" i="1"/>
  <c r="N543" i="1"/>
  <c r="O542" i="1"/>
  <c r="N542" i="1"/>
  <c r="O541" i="1"/>
  <c r="N541" i="1"/>
  <c r="O540" i="1"/>
  <c r="N540" i="1"/>
  <c r="O539" i="1"/>
  <c r="N539" i="1"/>
  <c r="O538" i="1"/>
  <c r="N538" i="1"/>
  <c r="O537" i="1"/>
  <c r="N537" i="1"/>
  <c r="O536" i="1"/>
  <c r="N536" i="1"/>
  <c r="O535" i="1"/>
  <c r="N535" i="1"/>
  <c r="O534" i="1"/>
  <c r="N534" i="1"/>
  <c r="O533" i="1"/>
  <c r="N533" i="1"/>
  <c r="O532" i="1"/>
  <c r="N532" i="1"/>
  <c r="O531" i="1"/>
  <c r="N531" i="1"/>
  <c r="O530" i="1"/>
  <c r="N530" i="1"/>
  <c r="O529" i="1"/>
  <c r="N529" i="1"/>
  <c r="O528" i="1"/>
  <c r="N528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520" i="1"/>
  <c r="N520" i="1"/>
  <c r="O519" i="1"/>
  <c r="N519" i="1"/>
  <c r="O518" i="1"/>
  <c r="N518" i="1"/>
  <c r="O517" i="1"/>
  <c r="N517" i="1"/>
  <c r="O516" i="1"/>
  <c r="N516" i="1"/>
  <c r="O515" i="1"/>
  <c r="N515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502" i="1"/>
  <c r="N502" i="1"/>
  <c r="O501" i="1"/>
  <c r="N501" i="1"/>
  <c r="O500" i="1"/>
  <c r="N500" i="1"/>
  <c r="O499" i="1"/>
  <c r="N499" i="1"/>
  <c r="O498" i="1"/>
  <c r="N498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86" i="1"/>
  <c r="N486" i="1"/>
  <c r="O485" i="1"/>
  <c r="N485" i="1"/>
  <c r="O484" i="1"/>
  <c r="N484" i="1"/>
  <c r="O483" i="1"/>
  <c r="N483" i="1"/>
  <c r="O482" i="1"/>
  <c r="N482" i="1"/>
  <c r="O481" i="1"/>
  <c r="N481" i="1"/>
  <c r="O480" i="1"/>
  <c r="N480" i="1"/>
  <c r="O479" i="1"/>
  <c r="N479" i="1"/>
  <c r="O478" i="1"/>
  <c r="N478" i="1"/>
  <c r="O477" i="1"/>
  <c r="N477" i="1"/>
  <c r="O476" i="1"/>
  <c r="N476" i="1"/>
  <c r="O475" i="1"/>
  <c r="N475" i="1"/>
  <c r="O474" i="1"/>
  <c r="N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65" i="1"/>
  <c r="N465" i="1"/>
  <c r="O464" i="1"/>
  <c r="N464" i="1"/>
  <c r="O463" i="1"/>
  <c r="N463" i="1"/>
  <c r="O462" i="1"/>
  <c r="N462" i="1"/>
  <c r="O461" i="1"/>
  <c r="N461" i="1"/>
  <c r="O460" i="1"/>
  <c r="N460" i="1"/>
  <c r="O459" i="1"/>
  <c r="N459" i="1"/>
  <c r="O458" i="1"/>
  <c r="N458" i="1"/>
  <c r="O457" i="1"/>
  <c r="N457" i="1"/>
  <c r="O456" i="1"/>
  <c r="N456" i="1"/>
  <c r="O455" i="1"/>
  <c r="N455" i="1"/>
  <c r="O454" i="1"/>
  <c r="N454" i="1"/>
  <c r="O453" i="1"/>
  <c r="N453" i="1"/>
  <c r="O452" i="1"/>
  <c r="N452" i="1"/>
  <c r="O451" i="1"/>
  <c r="N451" i="1"/>
  <c r="O450" i="1"/>
  <c r="N450" i="1"/>
  <c r="O449" i="1"/>
  <c r="N449" i="1"/>
  <c r="O448" i="1"/>
  <c r="N448" i="1"/>
  <c r="O447" i="1"/>
  <c r="N447" i="1"/>
  <c r="O446" i="1"/>
  <c r="N446" i="1"/>
  <c r="O445" i="1"/>
  <c r="N445" i="1"/>
  <c r="O444" i="1"/>
  <c r="N444" i="1"/>
  <c r="O443" i="1"/>
  <c r="N443" i="1"/>
  <c r="O442" i="1"/>
  <c r="N442" i="1"/>
  <c r="O441" i="1"/>
  <c r="N441" i="1"/>
  <c r="O440" i="1"/>
  <c r="N440" i="1"/>
  <c r="O439" i="1"/>
  <c r="N439" i="1"/>
  <c r="O438" i="1"/>
  <c r="N438" i="1"/>
  <c r="O437" i="1"/>
  <c r="N437" i="1"/>
  <c r="O436" i="1"/>
  <c r="N436" i="1"/>
  <c r="O435" i="1"/>
  <c r="N435" i="1"/>
  <c r="O434" i="1"/>
  <c r="N434" i="1"/>
  <c r="O433" i="1"/>
  <c r="N433" i="1"/>
  <c r="O432" i="1"/>
  <c r="N432" i="1"/>
  <c r="O431" i="1"/>
  <c r="N431" i="1"/>
  <c r="O430" i="1"/>
  <c r="N430" i="1"/>
  <c r="O429" i="1"/>
  <c r="N429" i="1"/>
  <c r="O428" i="1"/>
  <c r="N428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21" i="1"/>
  <c r="N421" i="1"/>
  <c r="O420" i="1"/>
  <c r="N420" i="1"/>
  <c r="O419" i="1"/>
  <c r="N419" i="1"/>
  <c r="O418" i="1"/>
  <c r="N418" i="1"/>
  <c r="O417" i="1"/>
  <c r="N417" i="1"/>
  <c r="O416" i="1"/>
  <c r="N416" i="1"/>
  <c r="O415" i="1"/>
  <c r="N415" i="1"/>
  <c r="O414" i="1"/>
  <c r="N414" i="1"/>
  <c r="O413" i="1"/>
  <c r="N413" i="1"/>
  <c r="O412" i="1"/>
  <c r="N412" i="1"/>
  <c r="O411" i="1"/>
  <c r="N411" i="1"/>
  <c r="O410" i="1"/>
  <c r="N410" i="1"/>
  <c r="O409" i="1"/>
  <c r="N409" i="1"/>
  <c r="O408" i="1"/>
  <c r="N408" i="1"/>
  <c r="O407" i="1"/>
  <c r="N407" i="1"/>
  <c r="O406" i="1"/>
  <c r="N406" i="1"/>
  <c r="O405" i="1"/>
  <c r="N405" i="1"/>
  <c r="O404" i="1"/>
  <c r="N404" i="1"/>
  <c r="O403" i="1"/>
  <c r="N403" i="1"/>
  <c r="O402" i="1"/>
  <c r="N402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394" i="1"/>
  <c r="N394" i="1"/>
  <c r="O393" i="1"/>
  <c r="N393" i="1"/>
  <c r="O392" i="1"/>
  <c r="N392" i="1"/>
  <c r="O391" i="1"/>
  <c r="N391" i="1"/>
  <c r="O390" i="1"/>
  <c r="N390" i="1"/>
  <c r="O389" i="1"/>
  <c r="N389" i="1"/>
  <c r="O388" i="1"/>
  <c r="N388" i="1"/>
  <c r="O387" i="1"/>
  <c r="N387" i="1"/>
  <c r="O386" i="1"/>
  <c r="N386" i="1"/>
  <c r="O385" i="1"/>
  <c r="N385" i="1"/>
  <c r="O384" i="1"/>
  <c r="N384" i="1"/>
  <c r="O383" i="1"/>
  <c r="N383" i="1"/>
  <c r="O382" i="1"/>
  <c r="N382" i="1"/>
  <c r="O381" i="1"/>
  <c r="N381" i="1"/>
  <c r="O380" i="1"/>
  <c r="N380" i="1"/>
  <c r="O379" i="1"/>
  <c r="N379" i="1"/>
  <c r="O378" i="1"/>
  <c r="N378" i="1"/>
  <c r="O377" i="1"/>
  <c r="N377" i="1"/>
  <c r="O376" i="1"/>
  <c r="N376" i="1"/>
  <c r="O375" i="1"/>
  <c r="N375" i="1"/>
  <c r="O374" i="1"/>
  <c r="N374" i="1"/>
  <c r="O373" i="1"/>
  <c r="N373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O366" i="1"/>
  <c r="N366" i="1"/>
  <c r="O365" i="1"/>
  <c r="N365" i="1"/>
  <c r="O364" i="1"/>
  <c r="N364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356" i="1"/>
  <c r="N356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49" i="1"/>
  <c r="N349" i="1"/>
  <c r="O348" i="1"/>
  <c r="N348" i="1"/>
  <c r="O347" i="1"/>
  <c r="N347" i="1"/>
  <c r="O346" i="1"/>
  <c r="N346" i="1"/>
  <c r="O345" i="1"/>
  <c r="N345" i="1"/>
  <c r="O344" i="1"/>
  <c r="N344" i="1"/>
  <c r="O343" i="1"/>
  <c r="N343" i="1"/>
  <c r="O342" i="1"/>
  <c r="N342" i="1"/>
  <c r="O341" i="1"/>
  <c r="N341" i="1"/>
  <c r="O340" i="1"/>
  <c r="N340" i="1"/>
  <c r="O339" i="1"/>
  <c r="N339" i="1"/>
  <c r="O338" i="1"/>
  <c r="N338" i="1"/>
  <c r="O337" i="1"/>
  <c r="N337" i="1"/>
  <c r="O336" i="1"/>
  <c r="N336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16" i="1"/>
  <c r="N316" i="1"/>
  <c r="O315" i="1"/>
  <c r="N315" i="1"/>
  <c r="O314" i="1"/>
  <c r="N314" i="1"/>
  <c r="O313" i="1"/>
  <c r="N313" i="1"/>
  <c r="O312" i="1"/>
  <c r="N312" i="1"/>
  <c r="O311" i="1"/>
  <c r="N311" i="1"/>
  <c r="O310" i="1"/>
  <c r="N310" i="1"/>
  <c r="O309" i="1"/>
  <c r="N309" i="1"/>
  <c r="O308" i="1"/>
  <c r="N308" i="1"/>
  <c r="O307" i="1"/>
  <c r="N307" i="1"/>
  <c r="O306" i="1"/>
  <c r="N306" i="1"/>
  <c r="O305" i="1"/>
  <c r="N305" i="1"/>
  <c r="O304" i="1"/>
  <c r="N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O291" i="1"/>
  <c r="N291" i="1"/>
  <c r="O290" i="1"/>
  <c r="N290" i="1"/>
  <c r="O289" i="1"/>
  <c r="N289" i="1"/>
  <c r="O288" i="1"/>
  <c r="N288" i="1"/>
  <c r="O287" i="1"/>
  <c r="N287" i="1"/>
  <c r="O286" i="1"/>
  <c r="N286" i="1"/>
  <c r="O285" i="1"/>
  <c r="N285" i="1"/>
  <c r="O284" i="1"/>
  <c r="N284" i="1"/>
  <c r="O283" i="1"/>
  <c r="N283" i="1"/>
  <c r="O282" i="1"/>
  <c r="N282" i="1"/>
  <c r="O281" i="1"/>
  <c r="N281" i="1"/>
  <c r="O280" i="1"/>
  <c r="N280" i="1"/>
  <c r="O279" i="1"/>
  <c r="N279" i="1"/>
  <c r="O278" i="1"/>
  <c r="N278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268" i="1"/>
  <c r="N268" i="1"/>
  <c r="O267" i="1"/>
  <c r="N267" i="1"/>
  <c r="O266" i="1"/>
  <c r="N266" i="1"/>
  <c r="O265" i="1"/>
  <c r="N265" i="1"/>
  <c r="O264" i="1"/>
  <c r="N264" i="1"/>
  <c r="O263" i="1"/>
  <c r="N26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31" i="1"/>
  <c r="N23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4" i="1"/>
  <c r="N224" i="1"/>
  <c r="O223" i="1"/>
  <c r="N22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6" i="1"/>
  <c r="N196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N2" i="1"/>
  <c r="O2" i="1"/>
  <c r="D12" i="2" l="1"/>
  <c r="D1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56D697-665F-4979-B28D-3F3C592AC7C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0398229-9717-423D-AC83-5CE8A100F9B2}" name="WorksheetConnection_retail_sales_dataset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retail_sales_dataset.xlsxTable1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<sst xmlns="http://schemas.openxmlformats.org/spreadsheetml/2006/main" count="3055" uniqueCount="1036">
  <si>
    <t>Transaction ID</t>
  </si>
  <si>
    <t>Day</t>
  </si>
  <si>
    <t>Month</t>
  </si>
  <si>
    <t>Year</t>
  </si>
  <si>
    <t>Date</t>
  </si>
  <si>
    <t>Customer ID</t>
  </si>
  <si>
    <t>Gender</t>
  </si>
  <si>
    <t>Generation</t>
  </si>
  <si>
    <t>Age</t>
  </si>
  <si>
    <t>Product Category</t>
  </si>
  <si>
    <t>Quantity</t>
  </si>
  <si>
    <t>Price per Unit</t>
  </si>
  <si>
    <t>Sales</t>
  </si>
  <si>
    <t>Commision 2023</t>
  </si>
  <si>
    <t>Commision 2024</t>
  </si>
  <si>
    <t>CUST001</t>
  </si>
  <si>
    <t>Male</t>
  </si>
  <si>
    <t>Beauty</t>
  </si>
  <si>
    <t>CUST002</t>
  </si>
  <si>
    <t>Female</t>
  </si>
  <si>
    <t>Clothing</t>
  </si>
  <si>
    <t>Rate%</t>
  </si>
  <si>
    <t xml:space="preserve">Write a formula to find Product Category </t>
  </si>
  <si>
    <t>CUST003</t>
  </si>
  <si>
    <t>Electronics</t>
  </si>
  <si>
    <t>Commision rate 2023</t>
  </si>
  <si>
    <t>CUST004</t>
  </si>
  <si>
    <t>Commision rate 2024</t>
  </si>
  <si>
    <t>CUST005</t>
  </si>
  <si>
    <t>CUST006</t>
  </si>
  <si>
    <t>CUST007</t>
  </si>
  <si>
    <t>CUST008</t>
  </si>
  <si>
    <t>Total Sales</t>
  </si>
  <si>
    <t>Average Sales</t>
  </si>
  <si>
    <t>CUST009</t>
  </si>
  <si>
    <t>All products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</si>
  <si>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</si>
  <si>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</si>
  <si>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</si>
  <si>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</si>
  <si>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</si>
  <si>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</si>
  <si>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</si>
  <si>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</si>
  <si>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</si>
  <si>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</si>
  <si>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</si>
  <si>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</si>
  <si>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</si>
  <si>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</si>
  <si>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</si>
  <si>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</si>
  <si>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</si>
  <si>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</si>
  <si>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</si>
  <si>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</si>
  <si>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</si>
  <si>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</si>
  <si>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</si>
  <si>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</si>
  <si>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</si>
  <si>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</si>
  <si>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</si>
  <si>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</si>
  <si>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</si>
  <si>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</si>
  <si>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</si>
  <si>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</si>
  <si>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</si>
  <si>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</si>
  <si>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</si>
  <si>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</si>
  <si>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</si>
  <si>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</si>
  <si>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</si>
  <si>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</si>
  <si>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</si>
  <si>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</si>
  <si>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</si>
  <si>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</si>
  <si>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</si>
  <si>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</si>
  <si>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</si>
  <si>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</si>
  <si>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</si>
  <si>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</si>
  <si>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</si>
  <si>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</si>
  <si>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</si>
  <si>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</si>
  <si>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</si>
  <si>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</si>
  <si>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</si>
  <si>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</si>
  <si>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</si>
  <si>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</si>
  <si>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</si>
  <si>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</si>
  <si>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</si>
  <si>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</si>
  <si>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</si>
  <si>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</si>
  <si>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</si>
  <si>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</si>
  <si>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</si>
  <si>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</si>
  <si>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</si>
  <si>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</si>
  <si>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</si>
  <si>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</si>
  <si>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</si>
  <si>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</si>
  <si>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</si>
  <si>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</si>
  <si>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</si>
  <si>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</si>
  <si>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</si>
  <si>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</si>
  <si>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</si>
  <si>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</si>
  <si>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</si>
  <si>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</si>
  <si>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</si>
  <si>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</si>
  <si>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</si>
  <si>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</si>
  <si>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</si>
  <si>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</si>
  <si>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</si>
  <si>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</si>
  <si>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</si>
  <si>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</si>
  <si>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</si>
  <si>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</si>
  <si>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</si>
  <si>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</si>
  <si>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</si>
  <si>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</si>
  <si>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</si>
  <si>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</si>
  <si>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</si>
  <si>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</si>
  <si>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</si>
  <si>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</si>
  <si>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</si>
  <si>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</si>
  <si>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</si>
  <si>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</si>
  <si>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</si>
  <si>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</si>
  <si>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</si>
  <si>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</si>
  <si>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</si>
  <si>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</si>
  <si>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</si>
  <si>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</si>
  <si>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</si>
  <si>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</si>
  <si>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</si>
  <si>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</si>
  <si>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</si>
  <si>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</si>
  <si>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</si>
  <si>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</si>
  <si>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</si>
  <si>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</si>
  <si>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</si>
  <si>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</si>
  <si>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</si>
  <si>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</si>
  <si>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</si>
  <si>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</si>
  <si>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</si>
  <si>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</si>
  <si>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</si>
  <si>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</si>
  <si>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</si>
  <si>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</si>
  <si>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</si>
  <si>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</si>
  <si>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</si>
  <si>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</si>
  <si>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</si>
  <si>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</si>
  <si>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</si>
  <si>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</si>
  <si>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</si>
  <si>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</si>
  <si>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</si>
  <si>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</si>
  <si>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</si>
  <si>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</si>
  <si>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</si>
  <si>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</si>
  <si>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</si>
  <si>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</si>
  <si>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</si>
  <si>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</si>
  <si>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</si>
  <si>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</si>
  <si>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</si>
  <si>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</si>
  <si>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</si>
  <si>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</si>
  <si>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</si>
  <si>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</si>
  <si>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</si>
  <si>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</si>
  <si>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</si>
  <si>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</si>
  <si>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</si>
  <si>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</si>
  <si>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</si>
  <si>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</si>
  <si>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</si>
  <si>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</si>
  <si>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</si>
  <si>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</si>
  <si>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</si>
  <si>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</si>
  <si>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</si>
  <si>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</si>
  <si>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</si>
  <si>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</si>
  <si>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</si>
  <si>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</si>
  <si>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</si>
  <si>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</si>
  <si>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</si>
  <si>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</si>
  <si>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</si>
  <si>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</si>
  <si>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</si>
  <si>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</si>
  <si>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</si>
  <si>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</si>
  <si>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</si>
  <si>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</si>
  <si>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</si>
  <si>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</si>
  <si>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</si>
  <si>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</si>
  <si>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</si>
  <si>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</si>
  <si>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</si>
  <si>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</si>
  <si>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</si>
  <si>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</si>
  <si>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</si>
  <si>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</si>
  <si>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</si>
  <si>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</si>
  <si>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</si>
  <si>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</si>
  <si>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</si>
  <si>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</si>
  <si>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</si>
  <si>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</si>
  <si>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</si>
  <si>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</si>
  <si>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</si>
  <si>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</si>
  <si>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</si>
  <si>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</si>
  <si>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</si>
  <si>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</si>
  <si>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</si>
  <si>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</si>
  <si>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</si>
  <si>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</si>
  <si>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</si>
  <si>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</si>
  <si>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</si>
  <si>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</si>
  <si>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</si>
  <si>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</si>
  <si>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</si>
  <si>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</si>
  <si>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</si>
  <si>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</si>
  <si>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</si>
  <si>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</si>
  <si>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</si>
  <si>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</si>
  <si>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</si>
  <si>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</si>
  <si>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</si>
  <si>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</si>
  <si>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</si>
  <si>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</si>
  <si>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</si>
  <si>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</si>
  <si>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</si>
  <si>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</si>
  <si>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</si>
  <si>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</si>
  <si>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</si>
  <si>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</si>
  <si>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</si>
  <si>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</si>
  <si>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</si>
  <si>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</si>
  <si>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</si>
  <si>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</si>
  <si>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</si>
  <si>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</si>
  <si>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</si>
  <si>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</si>
  <si>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</si>
  <si>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</si>
  <si>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</si>
  <si>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</si>
  <si>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</si>
  <si>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</si>
  <si>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</si>
  <si>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</si>
  <si>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</si>
  <si>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</si>
  <si>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</si>
  <si>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</si>
  <si>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</si>
  <si>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</si>
  <si>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</si>
  <si>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</si>
  <si>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</si>
  <si>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</si>
  <si>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</si>
  <si>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</si>
  <si>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</si>
  <si>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</si>
  <si>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</si>
  <si>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</si>
  <si>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</si>
  <si>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</si>
  <si>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</si>
  <si>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</si>
  <si>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</si>
  <si>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</si>
  <si>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</si>
  <si>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</si>
  <si>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</si>
  <si>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</si>
  <si>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</si>
  <si>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</si>
  <si>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</si>
  <si>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</si>
  <si>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</si>
  <si>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</si>
  <si>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</si>
  <si>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</si>
  <si>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</si>
  <si>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</si>
  <si>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</si>
  <si>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</si>
  <si>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</si>
  <si>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</si>
  <si>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</si>
  <si>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</si>
  <si>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</si>
  <si>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</si>
  <si>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</si>
  <si>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</si>
  <si>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</si>
  <si>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</si>
  <si>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</si>
  <si>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</si>
  <si>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</si>
  <si>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</si>
  <si>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</si>
  <si>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</si>
  <si>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</si>
  <si>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</si>
  <si>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</si>
  <si>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</si>
  <si>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</si>
  <si>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</si>
  <si>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</si>
  <si>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</si>
  <si>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</si>
  <si>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</si>
  <si>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</si>
  <si>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</si>
  <si>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</si>
  <si>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</si>
  <si>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</si>
  <si>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</si>
  <si>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</si>
  <si>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</si>
  <si>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</si>
  <si>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</si>
  <si>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</si>
  <si>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</si>
  <si>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</si>
  <si>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</si>
  <si>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</si>
  <si>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</si>
  <si>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</si>
  <si>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</si>
  <si>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</si>
  <si>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</si>
  <si>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</si>
  <si>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</si>
  <si>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</si>
  <si>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</si>
  <si>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</si>
  <si>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</si>
  <si>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</si>
  <si>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</si>
  <si>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</si>
  <si>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</si>
  <si>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</si>
  <si>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</si>
  <si>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</si>
  <si>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</si>
  <si>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</si>
  <si>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</si>
  <si>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</si>
  <si>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</si>
  <si>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</si>
  <si>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</si>
  <si>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</si>
  <si>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</si>
  <si>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</si>
  <si>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</si>
  <si>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</si>
  <si>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</si>
  <si>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</si>
  <si>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</si>
  <si>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</si>
  <si>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</si>
  <si>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</si>
  <si>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</si>
  <si>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</si>
  <si>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</si>
  <si>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</si>
  <si>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</si>
  <si>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</si>
  <si>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</si>
  <si>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</si>
  <si>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</si>
  <si>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</si>
  <si>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</si>
  <si>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</si>
  <si>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</si>
  <si>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</si>
  <si>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</si>
  <si>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</si>
  <si>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</si>
  <si>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</si>
  <si>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</si>
  <si>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</si>
  <si>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</si>
  <si>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</si>
  <si>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</si>
  <si>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</si>
  <si>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</si>
  <si>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</si>
  <si>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</si>
  <si>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</si>
  <si>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</si>
  <si>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</si>
  <si>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</si>
  <si>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</si>
  <si>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</si>
  <si>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</si>
  <si>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</si>
  <si>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</si>
  <si>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</si>
  <si>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</si>
  <si>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</si>
  <si>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</si>
  <si>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</si>
  <si>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</si>
  <si>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</si>
  <si>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</si>
  <si>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</si>
  <si>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</si>
  <si>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</si>
  <si>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</si>
  <si>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</si>
  <si>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</si>
  <si>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</si>
  <si>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</si>
  <si>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</si>
  <si>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</si>
  <si>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</si>
  <si>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</si>
  <si>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</si>
  <si>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</si>
  <si>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</si>
  <si>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</si>
  <si>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</si>
  <si>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</si>
  <si>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</si>
  <si>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</si>
  <si>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</si>
  <si>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</si>
  <si>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</si>
  <si>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</si>
  <si>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</si>
  <si>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</si>
  <si>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</si>
  <si>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</si>
  <si>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</si>
  <si>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</si>
  <si>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</si>
  <si>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</si>
  <si>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</si>
  <si>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</si>
  <si>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</si>
  <si>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</si>
  <si>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</si>
  <si>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</si>
  <si>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</si>
  <si>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</si>
  <si>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</si>
  <si>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</si>
  <si>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</si>
  <si>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</si>
  <si>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</si>
  <si>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</si>
  <si>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</si>
  <si>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</si>
  <si>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</si>
  <si>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</si>
  <si>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</si>
  <si>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</si>
  <si>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CUST501</t>
  </si>
  <si>
    <t>CUST502</t>
  </si>
  <si>
    <t>CUST503</t>
  </si>
  <si>
    <t>CUST504</t>
  </si>
  <si>
    <t>CUST505</t>
  </si>
  <si>
    <t>CUST506</t>
  </si>
  <si>
    <t>CUST507</t>
  </si>
  <si>
    <t>CUST508</t>
  </si>
  <si>
    <t>CUST509</t>
  </si>
  <si>
    <t>CUST510</t>
  </si>
  <si>
    <t>CUST511</t>
  </si>
  <si>
    <t>CUST512</t>
  </si>
  <si>
    <t>CUST513</t>
  </si>
  <si>
    <t>CUST514</t>
  </si>
  <si>
    <t>CUST515</t>
  </si>
  <si>
    <t>CUST516</t>
  </si>
  <si>
    <t>CUST517</t>
  </si>
  <si>
    <t>CUST518</t>
  </si>
  <si>
    <t>CUST519</t>
  </si>
  <si>
    <t>CUST520</t>
  </si>
  <si>
    <t>CUST521</t>
  </si>
  <si>
    <t>CUST522</t>
  </si>
  <si>
    <t>CUST523</t>
  </si>
  <si>
    <t>CUST524</t>
  </si>
  <si>
    <t>CUST525</t>
  </si>
  <si>
    <t>CUST526</t>
  </si>
  <si>
    <t>CUST527</t>
  </si>
  <si>
    <t>CUST528</t>
  </si>
  <si>
    <t>CUST529</t>
  </si>
  <si>
    <t>CUST530</t>
  </si>
  <si>
    <t>CUST531</t>
  </si>
  <si>
    <t>CUST532</t>
  </si>
  <si>
    <t>CUST533</t>
  </si>
  <si>
    <t>CUST534</t>
  </si>
  <si>
    <t>CUST535</t>
  </si>
  <si>
    <t>CUST536</t>
  </si>
  <si>
    <t>CUST537</t>
  </si>
  <si>
    <t>CUST538</t>
  </si>
  <si>
    <t>CUST539</t>
  </si>
  <si>
    <t>CUST540</t>
  </si>
  <si>
    <t>CUST541</t>
  </si>
  <si>
    <t>CUST542</t>
  </si>
  <si>
    <t>CUST543</t>
  </si>
  <si>
    <t>CUST544</t>
  </si>
  <si>
    <t>CUST545</t>
  </si>
  <si>
    <t>CUST546</t>
  </si>
  <si>
    <t>CUST547</t>
  </si>
  <si>
    <t>CUST548</t>
  </si>
  <si>
    <t>CUST549</t>
  </si>
  <si>
    <t>CUST550</t>
  </si>
  <si>
    <t>CUST551</t>
  </si>
  <si>
    <t>CUST552</t>
  </si>
  <si>
    <t>CUST553</t>
  </si>
  <si>
    <t>CUST554</t>
  </si>
  <si>
    <t>CUST555</t>
  </si>
  <si>
    <t>CUST556</t>
  </si>
  <si>
    <t>CUST557</t>
  </si>
  <si>
    <t>CUST558</t>
  </si>
  <si>
    <t>CUST559</t>
  </si>
  <si>
    <t>CUST560</t>
  </si>
  <si>
    <t>CUST561</t>
  </si>
  <si>
    <t>CUST562</t>
  </si>
  <si>
    <t>CUST563</t>
  </si>
  <si>
    <t>CUST564</t>
  </si>
  <si>
    <t>CUST565</t>
  </si>
  <si>
    <t>CUST566</t>
  </si>
  <si>
    <t>CUST567</t>
  </si>
  <si>
    <t>CUST568</t>
  </si>
  <si>
    <t>CUST569</t>
  </si>
  <si>
    <t>CUST570</t>
  </si>
  <si>
    <t>CUST571</t>
  </si>
  <si>
    <t>CUST572</t>
  </si>
  <si>
    <t>CUST573</t>
  </si>
  <si>
    <t>CUST574</t>
  </si>
  <si>
    <t>CUST575</t>
  </si>
  <si>
    <t>CUST576</t>
  </si>
  <si>
    <t>CUST577</t>
  </si>
  <si>
    <t>CUST578</t>
  </si>
  <si>
    <t>CUST579</t>
  </si>
  <si>
    <t>CUST580</t>
  </si>
  <si>
    <t>CUST581</t>
  </si>
  <si>
    <t>CUST582</t>
  </si>
  <si>
    <t>CUST583</t>
  </si>
  <si>
    <t>CUST584</t>
  </si>
  <si>
    <t>CUST585</t>
  </si>
  <si>
    <t>CUST586</t>
  </si>
  <si>
    <t>CUST587</t>
  </si>
  <si>
    <t>CUST588</t>
  </si>
  <si>
    <t>CUST589</t>
  </si>
  <si>
    <t>CUST590</t>
  </si>
  <si>
    <t>CUST591</t>
  </si>
  <si>
    <t>CUST592</t>
  </si>
  <si>
    <t>CUST593</t>
  </si>
  <si>
    <t>CUST594</t>
  </si>
  <si>
    <t>CUST595</t>
  </si>
  <si>
    <t>CUST596</t>
  </si>
  <si>
    <t>CUST597</t>
  </si>
  <si>
    <t>CUST598</t>
  </si>
  <si>
    <t>CUST599</t>
  </si>
  <si>
    <t>CUST600</t>
  </si>
  <si>
    <t>CUST601</t>
  </si>
  <si>
    <t>CUST602</t>
  </si>
  <si>
    <t>CUST603</t>
  </si>
  <si>
    <t>CUST604</t>
  </si>
  <si>
    <t>CUST605</t>
  </si>
  <si>
    <t>CUST606</t>
  </si>
  <si>
    <t>CUST607</t>
  </si>
  <si>
    <t>CUST608</t>
  </si>
  <si>
    <t>CUST609</t>
  </si>
  <si>
    <t>CUST610</t>
  </si>
  <si>
    <t>CUST611</t>
  </si>
  <si>
    <t>CUST612</t>
  </si>
  <si>
    <t>CUST613</t>
  </si>
  <si>
    <t>CUST614</t>
  </si>
  <si>
    <t>CUST615</t>
  </si>
  <si>
    <t>CUST616</t>
  </si>
  <si>
    <t>CUST617</t>
  </si>
  <si>
    <t>CUST618</t>
  </si>
  <si>
    <t>CUST619</t>
  </si>
  <si>
    <t>CUST620</t>
  </si>
  <si>
    <t>CUST621</t>
  </si>
  <si>
    <t>CUST622</t>
  </si>
  <si>
    <t>CUST623</t>
  </si>
  <si>
    <t>CUST624</t>
  </si>
  <si>
    <t>CUST625</t>
  </si>
  <si>
    <t>CUST626</t>
  </si>
  <si>
    <t>CUST627</t>
  </si>
  <si>
    <t>CUST628</t>
  </si>
  <si>
    <t>CUST629</t>
  </si>
  <si>
    <t>CUST630</t>
  </si>
  <si>
    <t>CUST631</t>
  </si>
  <si>
    <t>CUST632</t>
  </si>
  <si>
    <t>CUST633</t>
  </si>
  <si>
    <t>CUST634</t>
  </si>
  <si>
    <t>CUST635</t>
  </si>
  <si>
    <t>CUST636</t>
  </si>
  <si>
    <t>CUST637</t>
  </si>
  <si>
    <t>CUST638</t>
  </si>
  <si>
    <t>CUST639</t>
  </si>
  <si>
    <t>CUST640</t>
  </si>
  <si>
    <t>CUST641</t>
  </si>
  <si>
    <t>CUST642</t>
  </si>
  <si>
    <t>CUST643</t>
  </si>
  <si>
    <t>CUST644</t>
  </si>
  <si>
    <t>CUST645</t>
  </si>
  <si>
    <t>CUST646</t>
  </si>
  <si>
    <t>CUST647</t>
  </si>
  <si>
    <t>CUST648</t>
  </si>
  <si>
    <t>CUST649</t>
  </si>
  <si>
    <t>CUST650</t>
  </si>
  <si>
    <t>CUST651</t>
  </si>
  <si>
    <t>CUST652</t>
  </si>
  <si>
    <t>CUST653</t>
  </si>
  <si>
    <t>CUST654</t>
  </si>
  <si>
    <t>CUST655</t>
  </si>
  <si>
    <t>CUST656</t>
  </si>
  <si>
    <t>CUST657</t>
  </si>
  <si>
    <t>CUST658</t>
  </si>
  <si>
    <t>CUST659</t>
  </si>
  <si>
    <t>CUST660</t>
  </si>
  <si>
    <t>CUST661</t>
  </si>
  <si>
    <t>CUST662</t>
  </si>
  <si>
    <t>CUST663</t>
  </si>
  <si>
    <t>CUST664</t>
  </si>
  <si>
    <t>CUST665</t>
  </si>
  <si>
    <t>CUST666</t>
  </si>
  <si>
    <t>CUST667</t>
  </si>
  <si>
    <t>CUST668</t>
  </si>
  <si>
    <t>CUST669</t>
  </si>
  <si>
    <t>CUST670</t>
  </si>
  <si>
    <t>CUST671</t>
  </si>
  <si>
    <t>CUST672</t>
  </si>
  <si>
    <t>CUST673</t>
  </si>
  <si>
    <t>CUST674</t>
  </si>
  <si>
    <t>CUST675</t>
  </si>
  <si>
    <t>CUST676</t>
  </si>
  <si>
    <t>CUST677</t>
  </si>
  <si>
    <t>CUST678</t>
  </si>
  <si>
    <t>CUST679</t>
  </si>
  <si>
    <t>CUST680</t>
  </si>
  <si>
    <t>CUST681</t>
  </si>
  <si>
    <t>CUST682</t>
  </si>
  <si>
    <t>CUST683</t>
  </si>
  <si>
    <t>CUST684</t>
  </si>
  <si>
    <t>CUST685</t>
  </si>
  <si>
    <t>CUST686</t>
  </si>
  <si>
    <t>CUST687</t>
  </si>
  <si>
    <t>CUST688</t>
  </si>
  <si>
    <t>CUST689</t>
  </si>
  <si>
    <t>CUST690</t>
  </si>
  <si>
    <t>CUST691</t>
  </si>
  <si>
    <t>CUST692</t>
  </si>
  <si>
    <t>CUST693</t>
  </si>
  <si>
    <t>CUST694</t>
  </si>
  <si>
    <t>CUST695</t>
  </si>
  <si>
    <t>CUST696</t>
  </si>
  <si>
    <t>CUST697</t>
  </si>
  <si>
    <t>CUST698</t>
  </si>
  <si>
    <t>CUST699</t>
  </si>
  <si>
    <t>CUST700</t>
  </si>
  <si>
    <t>CUST701</t>
  </si>
  <si>
    <t>CUST702</t>
  </si>
  <si>
    <t>CUST703</t>
  </si>
  <si>
    <t>CUST704</t>
  </si>
  <si>
    <t>CUST705</t>
  </si>
  <si>
    <t>CUST706</t>
  </si>
  <si>
    <t>CUST707</t>
  </si>
  <si>
    <t>CUST708</t>
  </si>
  <si>
    <t>CUST709</t>
  </si>
  <si>
    <t>CUST710</t>
  </si>
  <si>
    <t>CUST711</t>
  </si>
  <si>
    <t>CUST712</t>
  </si>
  <si>
    <t>CUST713</t>
  </si>
  <si>
    <t>CUST714</t>
  </si>
  <si>
    <t>CUST715</t>
  </si>
  <si>
    <t>CUST716</t>
  </si>
  <si>
    <t>CUST717</t>
  </si>
  <si>
    <t>CUST718</t>
  </si>
  <si>
    <t>CUST719</t>
  </si>
  <si>
    <t>CUST720</t>
  </si>
  <si>
    <t>CUST721</t>
  </si>
  <si>
    <t>CUST722</t>
  </si>
  <si>
    <t>CUST723</t>
  </si>
  <si>
    <t>CUST724</t>
  </si>
  <si>
    <t>CUST725</t>
  </si>
  <si>
    <t>CUST726</t>
  </si>
  <si>
    <t>CUST727</t>
  </si>
  <si>
    <t>CUST728</t>
  </si>
  <si>
    <t>CUST729</t>
  </si>
  <si>
    <t>CUST730</t>
  </si>
  <si>
    <t>CUST731</t>
  </si>
  <si>
    <t>CUST732</t>
  </si>
  <si>
    <t>CUST733</t>
  </si>
  <si>
    <t>CUST734</t>
  </si>
  <si>
    <t>CUST735</t>
  </si>
  <si>
    <t>CUST736</t>
  </si>
  <si>
    <t>CUST737</t>
  </si>
  <si>
    <t>CUST738</t>
  </si>
  <si>
    <t>CUST739</t>
  </si>
  <si>
    <t>CUST740</t>
  </si>
  <si>
    <t>CUST741</t>
  </si>
  <si>
    <t>CUST742</t>
  </si>
  <si>
    <t>CUST743</t>
  </si>
  <si>
    <t>CUST744</t>
  </si>
  <si>
    <t>CUST745</t>
  </si>
  <si>
    <t>CUST746</t>
  </si>
  <si>
    <t>CUST747</t>
  </si>
  <si>
    <t>CUST748</t>
  </si>
  <si>
    <t>CUST749</t>
  </si>
  <si>
    <t>CUST750</t>
  </si>
  <si>
    <t>CUST751</t>
  </si>
  <si>
    <t>CUST752</t>
  </si>
  <si>
    <t>CUST753</t>
  </si>
  <si>
    <t>CUST754</t>
  </si>
  <si>
    <t>CUST755</t>
  </si>
  <si>
    <t>CUST756</t>
  </si>
  <si>
    <t>CUST757</t>
  </si>
  <si>
    <t>CUST758</t>
  </si>
  <si>
    <t>CUST759</t>
  </si>
  <si>
    <t>CUST760</t>
  </si>
  <si>
    <t>CUST761</t>
  </si>
  <si>
    <t>CUST762</t>
  </si>
  <si>
    <t>CUST763</t>
  </si>
  <si>
    <t>CUST764</t>
  </si>
  <si>
    <t>CUST765</t>
  </si>
  <si>
    <t>CUST766</t>
  </si>
  <si>
    <t>CUST767</t>
  </si>
  <si>
    <t>CUST768</t>
  </si>
  <si>
    <t>CUST769</t>
  </si>
  <si>
    <t>CUST770</t>
  </si>
  <si>
    <t>CUST771</t>
  </si>
  <si>
    <t>CUST772</t>
  </si>
  <si>
    <t>CUST773</t>
  </si>
  <si>
    <t>CUST774</t>
  </si>
  <si>
    <t>CUST775</t>
  </si>
  <si>
    <t>CUST776</t>
  </si>
  <si>
    <t>CUST777</t>
  </si>
  <si>
    <t>CUST778</t>
  </si>
  <si>
    <t>CUST779</t>
  </si>
  <si>
    <t>CUST780</t>
  </si>
  <si>
    <t>CUST781</t>
  </si>
  <si>
    <t>CUST782</t>
  </si>
  <si>
    <t>CUST783</t>
  </si>
  <si>
    <t>CUST784</t>
  </si>
  <si>
    <t>CUST785</t>
  </si>
  <si>
    <t>CUST786</t>
  </si>
  <si>
    <t>CUST787</t>
  </si>
  <si>
    <t>CUST788</t>
  </si>
  <si>
    <t>CUST789</t>
  </si>
  <si>
    <t>CUST790</t>
  </si>
  <si>
    <t>CUST791</t>
  </si>
  <si>
    <t>CUST792</t>
  </si>
  <si>
    <t>CUST793</t>
  </si>
  <si>
    <t>CUST794</t>
  </si>
  <si>
    <t>CUST795</t>
  </si>
  <si>
    <t>CUST796</t>
  </si>
  <si>
    <t>CUST797</t>
  </si>
  <si>
    <t>CUST798</t>
  </si>
  <si>
    <t>CUST799</t>
  </si>
  <si>
    <t>CUST800</t>
  </si>
  <si>
    <t>CUST801</t>
  </si>
  <si>
    <t>CUST802</t>
  </si>
  <si>
    <t>CUST803</t>
  </si>
  <si>
    <t>CUST804</t>
  </si>
  <si>
    <t>CUST805</t>
  </si>
  <si>
    <t>CUST806</t>
  </si>
  <si>
    <t>CUST807</t>
  </si>
  <si>
    <t>CUST808</t>
  </si>
  <si>
    <t>CUST809</t>
  </si>
  <si>
    <t>CUST810</t>
  </si>
  <si>
    <t>CUST811</t>
  </si>
  <si>
    <t>CUST812</t>
  </si>
  <si>
    <t>CUST813</t>
  </si>
  <si>
    <t>CUST814</t>
  </si>
  <si>
    <t>CUST815</t>
  </si>
  <si>
    <t>CUST816</t>
  </si>
  <si>
    <t>CUST817</t>
  </si>
  <si>
    <t>CUST818</t>
  </si>
  <si>
    <t>CUST819</t>
  </si>
  <si>
    <t>CUST820</t>
  </si>
  <si>
    <t>CUST821</t>
  </si>
  <si>
    <t>CUST822</t>
  </si>
  <si>
    <t>CUST823</t>
  </si>
  <si>
    <t>CUST824</t>
  </si>
  <si>
    <t>CUST825</t>
  </si>
  <si>
    <t>CUST826</t>
  </si>
  <si>
    <t>CUST827</t>
  </si>
  <si>
    <t>CUST828</t>
  </si>
  <si>
    <t>CUST829</t>
  </si>
  <si>
    <t>CUST830</t>
  </si>
  <si>
    <t>CUST831</t>
  </si>
  <si>
    <t>CUST832</t>
  </si>
  <si>
    <t>CUST833</t>
  </si>
  <si>
    <t>CUST834</t>
  </si>
  <si>
    <t>CUST835</t>
  </si>
  <si>
    <t>CUST836</t>
  </si>
  <si>
    <t>CUST837</t>
  </si>
  <si>
    <t>CUST838</t>
  </si>
  <si>
    <t>CUST839</t>
  </si>
  <si>
    <t>CUST840</t>
  </si>
  <si>
    <t>CUST841</t>
  </si>
  <si>
    <t>CUST842</t>
  </si>
  <si>
    <t>CUST843</t>
  </si>
  <si>
    <t>CUST844</t>
  </si>
  <si>
    <t>CUST845</t>
  </si>
  <si>
    <t>CUST846</t>
  </si>
  <si>
    <t>CUST847</t>
  </si>
  <si>
    <t>CUST848</t>
  </si>
  <si>
    <t>CUST849</t>
  </si>
  <si>
    <t>CUST850</t>
  </si>
  <si>
    <t>CUST851</t>
  </si>
  <si>
    <t>CUST852</t>
  </si>
  <si>
    <t>CUST853</t>
  </si>
  <si>
    <t>CUST854</t>
  </si>
  <si>
    <t>CUST855</t>
  </si>
  <si>
    <t>CUST856</t>
  </si>
  <si>
    <t>CUST857</t>
  </si>
  <si>
    <t>CUST858</t>
  </si>
  <si>
    <t>CUST859</t>
  </si>
  <si>
    <t>CUST860</t>
  </si>
  <si>
    <t>CUST861</t>
  </si>
  <si>
    <t>CUST862</t>
  </si>
  <si>
    <t>CUST863</t>
  </si>
  <si>
    <t>CUST864</t>
  </si>
  <si>
    <t>CUST865</t>
  </si>
  <si>
    <t>CUST866</t>
  </si>
  <si>
    <t>CUST867</t>
  </si>
  <si>
    <t>CUST868</t>
  </si>
  <si>
    <t>CUST869</t>
  </si>
  <si>
    <t>CUST870</t>
  </si>
  <si>
    <t>CUST871</t>
  </si>
  <si>
    <t>CUST872</t>
  </si>
  <si>
    <t>CUST873</t>
  </si>
  <si>
    <t>CUST874</t>
  </si>
  <si>
    <t>CUST875</t>
  </si>
  <si>
    <t>CUST876</t>
  </si>
  <si>
    <t>CUST877</t>
  </si>
  <si>
    <t>CUST878</t>
  </si>
  <si>
    <t>CUST879</t>
  </si>
  <si>
    <t>CUST880</t>
  </si>
  <si>
    <t>CUST881</t>
  </si>
  <si>
    <t>CUST882</t>
  </si>
  <si>
    <t>CUST883</t>
  </si>
  <si>
    <t>CUST884</t>
  </si>
  <si>
    <t>CUST885</t>
  </si>
  <si>
    <t>CUST886</t>
  </si>
  <si>
    <t>CUST887</t>
  </si>
  <si>
    <t>CUST888</t>
  </si>
  <si>
    <t>CUST889</t>
  </si>
  <si>
    <t>CUST890</t>
  </si>
  <si>
    <t>CUST891</t>
  </si>
  <si>
    <t>CUST892</t>
  </si>
  <si>
    <t>CUST893</t>
  </si>
  <si>
    <t>CUST894</t>
  </si>
  <si>
    <t>CUST895</t>
  </si>
  <si>
    <t>CUST896</t>
  </si>
  <si>
    <t>CUST897</t>
  </si>
  <si>
    <t>CUST898</t>
  </si>
  <si>
    <t>CUST899</t>
  </si>
  <si>
    <t>CUST900</t>
  </si>
  <si>
    <t>CUST901</t>
  </si>
  <si>
    <t>CUST902</t>
  </si>
  <si>
    <t>CUST903</t>
  </si>
  <si>
    <t>CUST904</t>
  </si>
  <si>
    <t>CUST905</t>
  </si>
  <si>
    <t>CUST906</t>
  </si>
  <si>
    <t>CUST907</t>
  </si>
  <si>
    <t>CUST908</t>
  </si>
  <si>
    <t>CUST909</t>
  </si>
  <si>
    <t>CUST910</t>
  </si>
  <si>
    <t>CUST911</t>
  </si>
  <si>
    <t>CUST912</t>
  </si>
  <si>
    <t>CUST913</t>
  </si>
  <si>
    <t>CUST914</t>
  </si>
  <si>
    <t>CUST915</t>
  </si>
  <si>
    <t>CUST916</t>
  </si>
  <si>
    <t>CUST917</t>
  </si>
  <si>
    <t>CUST918</t>
  </si>
  <si>
    <t>CUST919</t>
  </si>
  <si>
    <t>CUST920</t>
  </si>
  <si>
    <t>CUST921</t>
  </si>
  <si>
    <t>CUST922</t>
  </si>
  <si>
    <t>CUST923</t>
  </si>
  <si>
    <t>CUST924</t>
  </si>
  <si>
    <t>CUST925</t>
  </si>
  <si>
    <t>CUST926</t>
  </si>
  <si>
    <t>CUST927</t>
  </si>
  <si>
    <t>CUST928</t>
  </si>
  <si>
    <t>CUST929</t>
  </si>
  <si>
    <t>CUST930</t>
  </si>
  <si>
    <t>CUST931</t>
  </si>
  <si>
    <t>CUST932</t>
  </si>
  <si>
    <t>CUST933</t>
  </si>
  <si>
    <t>CUST934</t>
  </si>
  <si>
    <t>CUST935</t>
  </si>
  <si>
    <t>CUST936</t>
  </si>
  <si>
    <t>CUST937</t>
  </si>
  <si>
    <t>CUST938</t>
  </si>
  <si>
    <t>CUST939</t>
  </si>
  <si>
    <t>CUST940</t>
  </si>
  <si>
    <t>CUST941</t>
  </si>
  <si>
    <t>CUST942</t>
  </si>
  <si>
    <t>CUST943</t>
  </si>
  <si>
    <t>CUST944</t>
  </si>
  <si>
    <t>CUST945</t>
  </si>
  <si>
    <t>CUST946</t>
  </si>
  <si>
    <t>CUST947</t>
  </si>
  <si>
    <t>CUST948</t>
  </si>
  <si>
    <t>CUST949</t>
  </si>
  <si>
    <t>CUST950</t>
  </si>
  <si>
    <t>CUST951</t>
  </si>
  <si>
    <t>CUST952</t>
  </si>
  <si>
    <t>CUST953</t>
  </si>
  <si>
    <t>CUST954</t>
  </si>
  <si>
    <t>CUST955</t>
  </si>
  <si>
    <t>CUST956</t>
  </si>
  <si>
    <t>CUST957</t>
  </si>
  <si>
    <t>CUST958</t>
  </si>
  <si>
    <t>CUST959</t>
  </si>
  <si>
    <t>CUST960</t>
  </si>
  <si>
    <t>CUST961</t>
  </si>
  <si>
    <t>CUST962</t>
  </si>
  <si>
    <t>CUST963</t>
  </si>
  <si>
    <t>CUST964</t>
  </si>
  <si>
    <t>CUST965</t>
  </si>
  <si>
    <t>CUST966</t>
  </si>
  <si>
    <t>CUST967</t>
  </si>
  <si>
    <t>CUST968</t>
  </si>
  <si>
    <t>CUST969</t>
  </si>
  <si>
    <t>CUST970</t>
  </si>
  <si>
    <t>CUST971</t>
  </si>
  <si>
    <t>CUST972</t>
  </si>
  <si>
    <t>CUST973</t>
  </si>
  <si>
    <t>CUST974</t>
  </si>
  <si>
    <t>CUST975</t>
  </si>
  <si>
    <t>CUST976</t>
  </si>
  <si>
    <t>CUST977</t>
  </si>
  <si>
    <t>CUST978</t>
  </si>
  <si>
    <t>CUST979</t>
  </si>
  <si>
    <t>CUST980</t>
  </si>
  <si>
    <t>CUST981</t>
  </si>
  <si>
    <t>CUST982</t>
  </si>
  <si>
    <t>CUST983</t>
  </si>
  <si>
    <t>CUST984</t>
  </si>
  <si>
    <t>CUST985</t>
  </si>
  <si>
    <t>CUST986</t>
  </si>
  <si>
    <t>CUST987</t>
  </si>
  <si>
    <t>CUST988</t>
  </si>
  <si>
    <t>CUST989</t>
  </si>
  <si>
    <t>CUST990</t>
  </si>
  <si>
    <t>CUST991</t>
  </si>
  <si>
    <t>CUST992</t>
  </si>
  <si>
    <t>CUST993</t>
  </si>
  <si>
    <t>CUST994</t>
  </si>
  <si>
    <t>CUST995</t>
  </si>
  <si>
    <t>CUST996</t>
  </si>
  <si>
    <t>CUST997</t>
  </si>
  <si>
    <t>CUST998</t>
  </si>
  <si>
    <t>CUST999</t>
  </si>
  <si>
    <t>CUST1000</t>
  </si>
  <si>
    <t>Product category</t>
  </si>
  <si>
    <t>Concatenate</t>
  </si>
  <si>
    <t>count = count(A2:a10)</t>
  </si>
  <si>
    <t>counta  = counta(A2:A10)</t>
  </si>
  <si>
    <t>Sum of Sales</t>
  </si>
  <si>
    <t>Grand Total</t>
  </si>
  <si>
    <t>Adult</t>
  </si>
  <si>
    <t>Senior</t>
  </si>
  <si>
    <t>Young Adult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</si>
</sst>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£-809]* #,##0.00_-;\-[$£-809]* #,##0.00_-;_-[$£-809]* &quot;-&quot;??_-;_-@_-"/>
    <numFmt numFmtId="165" formatCode="_([$$-409]* #,##0.00_);_([$$-409]* \(#,##0.00\);_([$$-409]* &quot;-&quot;??_);_(@_)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16" fillId="0" borderId="0" xfId="0" applyFont="1"/>
    <xf numFmtId="0" fontId="0" fillId="0" borderId="13" xfId="0" applyBorder="1"/>
    <xf numFmtId="14" fontId="0" fillId="0" borderId="14" xfId="0" applyNumberFormat="1" applyBorder="1"/>
    <xf numFmtId="0" fontId="0" fillId="0" borderId="14" xfId="0" applyBorder="1"/>
    <xf numFmtId="0" fontId="0" fillId="0" borderId="15" xfId="0" applyBorder="1"/>
    <xf numFmtId="0" fontId="0" fillId="0" borderId="10" xfId="0" applyBorder="1"/>
    <xf numFmtId="14" fontId="0" fillId="0" borderId="11" xfId="0" applyNumberFormat="1" applyBorder="1"/>
    <xf numFmtId="0" fontId="0" fillId="0" borderId="11" xfId="0" applyBorder="1"/>
    <xf numFmtId="0" fontId="0" fillId="0" borderId="12" xfId="0" applyBorder="1"/>
    <xf numFmtId="0" fontId="18" fillId="0" borderId="13" xfId="0" applyFont="1" applyBorder="1"/>
    <xf numFmtId="0" fontId="18" fillId="0" borderId="14" xfId="0" applyFont="1" applyBorder="1"/>
    <xf numFmtId="0" fontId="18" fillId="0" borderId="15" xfId="0" applyFont="1" applyBorder="1"/>
    <xf numFmtId="10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pivotCacheDefinition" Target="pivotCache/pivotCacheDefinition1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8" Type="http://schemas.microsoft.com/office/2007/relationships/slicerCache" Target="slicerCaches/slicerCache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[retail_sales_dataset_Master - Yusuf.xlsx]Sales by Category and Gender!PivotTable1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 and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Category and Gender'!$B$3:$B$4</c:f>
              <c:strCache>
                <c:ptCount val="1"/>
                <c:pt idx="0">
                  <c:v>Beauty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Category and Gender'!$A$5:$A$7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'Sales by Category and Gender'!$B$5:$B$7</c:f>
              <c:numCache>
                <c:formatCode>0.00%</c:formatCode>
                <c:ptCount val="2"/>
                <c:pt idx="0">
                  <c:v>0.16410087719298247</c:v>
                </c:pt>
                <c:pt idx="1">
                  <c:v>0.15062500000000001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C2-4AEC-A088-EB124A64F248}"/>
            </c:ext>
          </c:extLst>
        </c:ser>
        <c:ser>
          <c:idx val="1"/>
          <c:order val="1"/>
          <c:tx>
            <c:strRef>
              <c:f>'Sales by Category and Gender'!$C$3:$C$4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Category and Gender'!$A$5:$A$7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'Sales by Category and Gender'!$C$5:$C$7</c:f>
              <c:numCache>
                <c:formatCode>0.00%</c:formatCode>
                <c:ptCount val="2"/>
                <c:pt idx="0">
                  <c:v>0.17823464912280701</c:v>
                </c:pt>
                <c:pt idx="1">
                  <c:v>0.16294956140350877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C2-4AEC-A088-EB124A64F248}"/>
            </c:ext>
          </c:extLst>
        </c:ser>
        <c:ser>
          <c:idx val="2"/>
          <c:order val="2"/>
          <c:tx>
            <c:strRef>
              <c:f>'Sales by Category and Gender'!$D$3:$D$4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Category and Gender'!$A$5:$A$7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'Sales by Category and Gender'!$D$5:$D$7</c:f>
              <c:numCache>
                <c:formatCode>0.00%</c:formatCode>
                <c:ptCount val="2"/>
                <c:pt idx="0">
                  <c:v>0.16827850877192982</c:v>
                </c:pt>
                <c:pt idx="1">
                  <c:v>0.17581140350877192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5C2-4AEC-A088-EB124A64F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4176263"/>
        <c:axId val="374203399"/>
      </c:barChart>
      <c:catAx>
        <c:axId val="374176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203399"/>
        <c:crosses val="autoZero"/>
        <c:auto val="1"/>
        <c:lblAlgn val="ctr"/>
        <c:lblOffset val="100"/>
        <c:noMultiLvlLbl val="0"/>
      </c:catAx>
      <c:valAx>
        <c:axId val="374203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4176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[retail_sales_dataset_Master - Yusuf.xlsx]Sales by Category and Generatio!PivotTable2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 and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Category and Generatio'!$B$2:$B$3</c:f>
              <c:strCache>
                <c:ptCount val="1"/>
                <c:pt idx="0">
                  <c:v>Beauty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Category and Generatio'!$A$4:$A$7</c:f>
              <c:strCache>
                <c:ptCount val="3"/>
                <c:pt idx="0">
                  <c:v>Adult</c:v>
                </c:pt>
                <c:pt idx="1">
                  <c:v>Senior</c:v>
                </c:pt>
                <c:pt idx="2">
                  <c:v>Young Adult</c:v>
                </c:pt>
              </c:strCache>
            </c:strRef>
          </c:cat>
          <c:val>
            <c:numRef>
              <c:f>'Sales by Category and Generatio'!$B$4:$B$7</c:f>
              <c:numCache>
                <c:formatCode>General</c:formatCode>
                <c:ptCount val="3"/>
                <c:pt idx="0">
                  <c:v>68030</c:v>
                </c:pt>
                <c:pt idx="1">
                  <c:v>34085</c:v>
                </c:pt>
                <c:pt idx="2">
                  <c:v>41400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8-41B7-9A52-40AE3A34ACBB}"/>
            </c:ext>
          </c:extLst>
        </c:ser>
        <c:ser>
          <c:idx val="1"/>
          <c:order val="1"/>
          <c:tx>
            <c:strRef>
              <c:f>'Sales by Category and Generatio'!$C$2:$C$3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Category and Generatio'!$A$4:$A$7</c:f>
              <c:strCache>
                <c:ptCount val="3"/>
                <c:pt idx="0">
                  <c:v>Adult</c:v>
                </c:pt>
                <c:pt idx="1">
                  <c:v>Senior</c:v>
                </c:pt>
                <c:pt idx="2">
                  <c:v>Young Adult</c:v>
                </c:pt>
              </c:strCache>
            </c:strRef>
          </c:cat>
          <c:val>
            <c:numRef>
              <c:f>'Sales by Category and Generatio'!$C$4:$C$7</c:f>
              <c:numCache>
                <c:formatCode>General</c:formatCode>
                <c:ptCount val="3"/>
                <c:pt idx="0">
                  <c:v>62360</c:v>
                </c:pt>
                <c:pt idx="1">
                  <c:v>47070</c:v>
                </c:pt>
                <c:pt idx="2">
                  <c:v>46150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AE8-41B7-9A52-40AE3A34ACBB}"/>
            </c:ext>
          </c:extLst>
        </c:ser>
        <c:ser>
          <c:idx val="2"/>
          <c:order val="2"/>
          <c:tx>
            <c:strRef>
              <c:f>'Sales by Category and Generatio'!$D$2:$D$3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Category and Generatio'!$A$4:$A$7</c:f>
              <c:strCache>
                <c:ptCount val="3"/>
                <c:pt idx="0">
                  <c:v>Adult</c:v>
                </c:pt>
                <c:pt idx="1">
                  <c:v>Senior</c:v>
                </c:pt>
                <c:pt idx="2">
                  <c:v>Young Adult</c:v>
                </c:pt>
              </c:strCache>
            </c:strRef>
          </c:cat>
          <c:val>
            <c:numRef>
              <c:f>'Sales by Category and Generatio'!$D$4:$D$7</c:f>
              <c:numCache>
                <c:formatCode>General</c:formatCode>
                <c:ptCount val="3"/>
                <c:pt idx="0">
                  <c:v>59300</c:v>
                </c:pt>
                <c:pt idx="1">
                  <c:v>62000</c:v>
                </c:pt>
                <c:pt idx="2">
                  <c:v>35605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AE8-41B7-9A52-40AE3A34A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7574536"/>
        <c:axId val="1767576584"/>
      </c:barChart>
      <c:catAx>
        <c:axId val="1767574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576584"/>
        <c:crosses val="autoZero"/>
        <c:auto val="1"/>
        <c:lblAlgn val="ctr"/>
        <c:lblOffset val="100"/>
        <c:noMultiLvlLbl val="0"/>
      </c:catAx>
      <c:valAx>
        <c:axId val="1767576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574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3</xdr:row>
      <xdr:rowOff>0</xdr:rowOff>
    </xdr:from>
    <xdr:to>
      <xdr:col>9</xdr:col>
      <xdr:colOff>361950</xdr:colOff>
      <xdr:row>16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E7BAE4F-5F25-B27A-723D-D4CD40B4E7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133350</xdr:rowOff>
    </xdr:from>
    <xdr:to>
      <xdr:col>5</xdr:col>
      <xdr:colOff>342900</xdr:colOff>
      <xdr:row>25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4E5A50-83A1-5E36-2CA4-C324150A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466725</xdr:colOff>
      <xdr:row>3</xdr:row>
      <xdr:rowOff>66675</xdr:rowOff>
    </xdr:from>
    <xdr:to>
      <xdr:col>8</xdr:col>
      <xdr:colOff>238125</xdr:colOff>
      <xdr:row>16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ender">
              <a:extLst>
                <a:ext uri="{FF2B5EF4-FFF2-40B4-BE49-F238E27FC236}">
                  <a16:creationId xmlns:a16="http://schemas.microsoft.com/office/drawing/2014/main" id="{503A7493-6CBB-2EF9-87C0-FD4721E6272E}"/>
                </a:ext>
                <a:ext uri="{147F2762-F138-4A5C-976F-8EAC2B608ADB}">
                  <a16:predDERef xmlns:a16="http://schemas.microsoft.com/office/drawing/2014/main" pred="{F24E5A50-83A1-5E36-2CA4-C324150A615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57775" y="6667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8</xdr:col>
      <xdr:colOff>314325</xdr:colOff>
      <xdr:row>3</xdr:row>
      <xdr:rowOff>47625</xdr:rowOff>
    </xdr:from>
    <xdr:to>
      <xdr:col>11</xdr:col>
      <xdr:colOff>85725</xdr:colOff>
      <xdr:row>16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Generation">
              <a:extLst>
                <a:ext uri="{FF2B5EF4-FFF2-40B4-BE49-F238E27FC236}">
                  <a16:creationId xmlns:a16="http://schemas.microsoft.com/office/drawing/2014/main" id="{1EC13534-6522-C2C8-0667-0963A05AEA6B}"/>
                </a:ext>
                <a:ext uri="{147F2762-F138-4A5C-976F-8EAC2B608ADB}">
                  <a16:predDERef xmlns:a16="http://schemas.microsoft.com/office/drawing/2014/main" pred="{503A7493-6CBB-2EF9-87C0-FD4721E627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erat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62775" y="64770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11</xdr:col>
      <xdr:colOff>161925</xdr:colOff>
      <xdr:row>3</xdr:row>
      <xdr:rowOff>57150</xdr:rowOff>
    </xdr:from>
    <xdr:to>
      <xdr:col>14</xdr:col>
      <xdr:colOff>47625</xdr:colOff>
      <xdr:row>16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4" name="Product Category">
              <a:extLst>
                <a:ext uri="{FF2B5EF4-FFF2-40B4-BE49-F238E27FC236}">
                  <a16:creationId xmlns:a16="http://schemas.microsoft.com/office/drawing/2014/main" id="{7D6CD764-12E6-2F75-3CFF-49080CAE64C1}"/>
                </a:ext>
                <a:ext uri="{147F2762-F138-4A5C-976F-8EAC2B608ADB}">
                  <a16:predDERef xmlns:a16="http://schemas.microsoft.com/office/drawing/2014/main" pred="{1EC13534-6522-C2C8-0667-0963A05AEA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 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67775" y="657225"/>
              <a:ext cx="19431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57.498949884262" createdVersion="8" refreshedVersion="8" minRefreshableVersion="3" recordCount="1000" xr:uid="{1033418C-10EC-4422-BDDB-87E8371446F9}">
  <cacheSource type="worksheet">
    <worksheetSource ref="A1:O1001" sheet="retail_sales_dataset"/>
  </cacheSource>
  <cacheFields count="15">
    <cacheField name="Transaction ID" numFmtId="0">
      <sharedItems containsSemiMixedTypes="0" containsString="0" containsNumber="1" containsInteger="1" minValue="1" maxValue="1000"/>
    </cacheField>
    <cacheField name="Day" numFmtId="0">
      <sharedItems containsSemiMixedTypes="0" containsString="0" containsNumber="1" containsInteger="1" minValue="1" maxValue="31"/>
    </cacheField>
    <cacheField name="Month" numFmtId="0">
      <sharedItems containsSemiMixedTypes="0" containsString="0" containsNumber="1" containsInteger="1" minValue="1" maxValue="12"/>
    </cacheField>
    <cacheField name="Year" numFmtId="0">
      <sharedItems containsSemiMixedTypes="0" containsString="0" containsNumber="1" containsInteger="1" minValue="2023" maxValue="2024"/>
    </cacheField>
    <cacheField name="Date" numFmtId="14">
      <sharedItems containsSemiMixedTypes="0" containsNonDate="0" containsDate="1" containsString="0" minDate="2023-01-01T00:00:00" maxDate="2024-01-02T00:00:00"/>
    </cacheField>
    <cacheField name="Customer ID" numFmtId="0">
      <sharedItems/>
    </cacheField>
    <cacheField name="Gender" numFmtId="0">
      <sharedItems count="2">
        <s v="Male"/>
        <s v="Female"/>
      </sharedItems>
    </cacheField>
    <cacheField name="Generation" numFmtId="0">
      <sharedItems count="3">
        <s v="Adult"/>
        <s v="Young Adult"/>
        <s v="Senior"/>
      </sharedItems>
    </cacheField>
    <cacheField name="Age" numFmtId="0">
      <sharedItems containsString="0" containsBlank="1" containsNumber="1" containsInteger="1" minValue="18" maxValue="64"/>
    </cacheField>
    <cacheField name="Product Category" numFmtId="0">
      <sharedItems count="3">
        <s v="Beauty"/>
        <s v="Clothing"/>
        <s v="Electronics"/>
      </sharedItems>
    </cacheField>
    <cacheField name="Quantity" numFmtId="0">
      <sharedItems containsSemiMixedTypes="0" containsString="0" containsNumber="1" containsInteger="1" minValue="1" maxValue="4"/>
    </cacheField>
    <cacheField name="Price per Unit" numFmtId="0">
      <sharedItems containsSemiMixedTypes="0" containsString="0" containsNumber="1" containsInteger="1" minValue="25" maxValue="500"/>
    </cacheField>
    <cacheField name="Sales" numFmtId="0">
      <sharedItems containsSemiMixedTypes="0" containsString="0" containsNumber="1" containsInteger="1" minValue="25" maxValue="2000"/>
    </cacheField>
    <cacheField name="Commision 2023" numFmtId="164">
      <sharedItems containsSemiMixedTypes="0" containsString="0" containsNumber="1" minValue="0.375" maxValue="30"/>
    </cacheField>
    <cacheField name="Commision 2024" numFmtId="0">
      <sharedItems containsSemiMixedTypes="0" containsString="0" containsNumber="1" minValue="0.5" maxValue="40"/>
    </cacheField>
  </cacheFields>
  <extLst>
    <ext xmlns:x14="http://schemas.microsoft.com/office/spreadsheetml/2009/9/main" uri="{725AE2AE-9491-48be-B2B4-4EB974FC3084}">
      <x14:pivotCacheDefinition pivotCacheId="60547518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n v="24"/>
    <n v="11"/>
    <n v="2023"/>
    <d v="2023-11-24T00:00:00"/>
    <s v="CUST001"/>
    <x v="0"/>
    <x v="0"/>
    <n v="34"/>
    <x v="0"/>
    <n v="3"/>
    <n v="50"/>
    <n v="150"/>
    <n v="2.25"/>
    <n v="3"/>
  </r>
  <r>
    <n v="2"/>
    <n v="27"/>
    <n v="2"/>
    <n v="2023"/>
    <d v="2023-02-27T00:00:00"/>
    <s v="CUST002"/>
    <x v="1"/>
    <x v="1"/>
    <n v="26"/>
    <x v="1"/>
    <n v="2"/>
    <n v="500"/>
    <n v="1000"/>
    <n v="15"/>
    <n v="20"/>
  </r>
  <r>
    <n v="3"/>
    <n v="13"/>
    <n v="1"/>
    <n v="2023"/>
    <d v="2023-01-13T00:00:00"/>
    <s v="CUST003"/>
    <x v="0"/>
    <x v="2"/>
    <n v="50"/>
    <x v="2"/>
    <n v="1"/>
    <n v="30"/>
    <n v="30"/>
    <n v="0.44999999999999996"/>
    <n v="0.6"/>
  </r>
  <r>
    <n v="4"/>
    <n v="21"/>
    <n v="5"/>
    <n v="2023"/>
    <d v="2023-05-21T00:00:00"/>
    <s v="CUST004"/>
    <x v="0"/>
    <x v="0"/>
    <n v="37"/>
    <x v="1"/>
    <n v="1"/>
    <n v="500"/>
    <n v="500"/>
    <n v="7.5"/>
    <n v="10"/>
  </r>
  <r>
    <n v="5"/>
    <n v="6"/>
    <n v="5"/>
    <n v="2023"/>
    <d v="2023-05-06T00:00:00"/>
    <s v="CUST005"/>
    <x v="0"/>
    <x v="0"/>
    <n v="30"/>
    <x v="0"/>
    <n v="2"/>
    <n v="50"/>
    <n v="100"/>
    <n v="1.5"/>
    <n v="2"/>
  </r>
  <r>
    <n v="6"/>
    <n v="25"/>
    <n v="4"/>
    <n v="2023"/>
    <d v="2023-04-25T00:00:00"/>
    <s v="CUST006"/>
    <x v="1"/>
    <x v="0"/>
    <n v="45"/>
    <x v="0"/>
    <n v="1"/>
    <n v="30"/>
    <n v="30"/>
    <n v="0.44999999999999996"/>
    <n v="0.6"/>
  </r>
  <r>
    <n v="7"/>
    <n v="13"/>
    <n v="3"/>
    <n v="2023"/>
    <d v="2023-03-13T00:00:00"/>
    <s v="CUST007"/>
    <x v="0"/>
    <x v="0"/>
    <n v="46"/>
    <x v="1"/>
    <n v="2"/>
    <n v="25"/>
    <n v="50"/>
    <n v="0.75"/>
    <n v="1"/>
  </r>
  <r>
    <n v="8"/>
    <n v="22"/>
    <n v="2"/>
    <n v="2023"/>
    <d v="2023-02-22T00:00:00"/>
    <s v="CUST008"/>
    <x v="0"/>
    <x v="0"/>
    <n v="30"/>
    <x v="2"/>
    <n v="4"/>
    <n v="25"/>
    <n v="100"/>
    <n v="1.5"/>
    <n v="2"/>
  </r>
  <r>
    <n v="9"/>
    <n v="13"/>
    <n v="12"/>
    <n v="2023"/>
    <d v="2023-12-13T00:00:00"/>
    <s v="CUST009"/>
    <x v="0"/>
    <x v="2"/>
    <n v="63"/>
    <x v="2"/>
    <n v="2"/>
    <n v="300"/>
    <n v="600"/>
    <n v="9"/>
    <n v="12"/>
  </r>
  <r>
    <n v="10"/>
    <n v="7"/>
    <n v="10"/>
    <n v="2023"/>
    <d v="2023-10-07T00:00:00"/>
    <s v="CUST010"/>
    <x v="1"/>
    <x v="2"/>
    <n v="52"/>
    <x v="1"/>
    <n v="4"/>
    <n v="50"/>
    <n v="200"/>
    <n v="3"/>
    <n v="4"/>
  </r>
  <r>
    <n v="11"/>
    <n v="14"/>
    <n v="2"/>
    <n v="2023"/>
    <d v="2023-02-14T00:00:00"/>
    <s v="CUST011"/>
    <x v="0"/>
    <x v="1"/>
    <n v="23"/>
    <x v="1"/>
    <n v="2"/>
    <n v="50"/>
    <n v="100"/>
    <n v="1.5"/>
    <n v="2"/>
  </r>
  <r>
    <n v="12"/>
    <n v="30"/>
    <n v="10"/>
    <n v="2023"/>
    <d v="2023-10-30T00:00:00"/>
    <s v="CUST012"/>
    <x v="0"/>
    <x v="0"/>
    <n v="35"/>
    <x v="0"/>
    <n v="3"/>
    <n v="25"/>
    <n v="75"/>
    <n v="1.125"/>
    <n v="1.5"/>
  </r>
  <r>
    <n v="13"/>
    <n v="5"/>
    <n v="8"/>
    <n v="2023"/>
    <d v="2023-08-05T00:00:00"/>
    <s v="CUST013"/>
    <x v="0"/>
    <x v="1"/>
    <n v="22"/>
    <x v="2"/>
    <n v="3"/>
    <n v="500"/>
    <n v="1500"/>
    <n v="22.5"/>
    <n v="30"/>
  </r>
  <r>
    <n v="14"/>
    <n v="17"/>
    <n v="1"/>
    <n v="2023"/>
    <d v="2023-01-17T00:00:00"/>
    <s v="CUST014"/>
    <x v="0"/>
    <x v="2"/>
    <n v="64"/>
    <x v="1"/>
    <n v="4"/>
    <n v="30"/>
    <n v="120"/>
    <n v="1.7999999999999998"/>
    <n v="2.4"/>
  </r>
  <r>
    <n v="15"/>
    <n v="16"/>
    <n v="1"/>
    <n v="2023"/>
    <d v="2023-01-16T00:00:00"/>
    <s v="CUST015"/>
    <x v="1"/>
    <x v="0"/>
    <n v="42"/>
    <x v="2"/>
    <n v="4"/>
    <n v="500"/>
    <n v="2000"/>
    <n v="30"/>
    <n v="40"/>
  </r>
  <r>
    <n v="16"/>
    <n v="17"/>
    <n v="2"/>
    <n v="2023"/>
    <d v="2023-02-17T00:00:00"/>
    <s v="CUST016"/>
    <x v="0"/>
    <x v="1"/>
    <n v="19"/>
    <x v="1"/>
    <n v="3"/>
    <n v="500"/>
    <n v="1500"/>
    <n v="22.5"/>
    <n v="30"/>
  </r>
  <r>
    <n v="17"/>
    <n v="22"/>
    <n v="4"/>
    <n v="2023"/>
    <d v="2023-04-22T00:00:00"/>
    <s v="CUST017"/>
    <x v="1"/>
    <x v="1"/>
    <n v="27"/>
    <x v="1"/>
    <n v="4"/>
    <n v="25"/>
    <n v="100"/>
    <n v="1.5"/>
    <n v="2"/>
  </r>
  <r>
    <n v="18"/>
    <n v="30"/>
    <n v="4"/>
    <n v="2023"/>
    <d v="2023-04-30T00:00:00"/>
    <s v="CUST018"/>
    <x v="1"/>
    <x v="0"/>
    <n v="47"/>
    <x v="2"/>
    <n v="2"/>
    <n v="25"/>
    <n v="50"/>
    <n v="0.75"/>
    <n v="1"/>
  </r>
  <r>
    <n v="19"/>
    <n v="16"/>
    <n v="9"/>
    <n v="2023"/>
    <d v="2023-09-16T00:00:00"/>
    <s v="CUST019"/>
    <x v="1"/>
    <x v="2"/>
    <n v="62"/>
    <x v="1"/>
    <n v="2"/>
    <n v="25"/>
    <n v="50"/>
    <n v="0.75"/>
    <n v="1"/>
  </r>
  <r>
    <n v="20"/>
    <n v="5"/>
    <n v="11"/>
    <n v="2023"/>
    <d v="2023-11-05T00:00:00"/>
    <s v="CUST020"/>
    <x v="0"/>
    <x v="1"/>
    <n v="22"/>
    <x v="1"/>
    <n v="3"/>
    <n v="300"/>
    <n v="900"/>
    <n v="13.5"/>
    <n v="18"/>
  </r>
  <r>
    <n v="21"/>
    <n v="14"/>
    <n v="1"/>
    <n v="2023"/>
    <d v="2023-01-14T00:00:00"/>
    <s v="CUST021"/>
    <x v="1"/>
    <x v="2"/>
    <n v="50"/>
    <x v="0"/>
    <n v="1"/>
    <n v="500"/>
    <n v="500"/>
    <n v="7.5"/>
    <n v="10"/>
  </r>
  <r>
    <n v="22"/>
    <n v="15"/>
    <n v="10"/>
    <n v="2023"/>
    <d v="2023-10-15T00:00:00"/>
    <s v="CUST022"/>
    <x v="0"/>
    <x v="1"/>
    <n v="18"/>
    <x v="1"/>
    <n v="2"/>
    <n v="50"/>
    <n v="100"/>
    <n v="1.5"/>
    <n v="2"/>
  </r>
  <r>
    <n v="23"/>
    <n v="12"/>
    <n v="4"/>
    <n v="2023"/>
    <d v="2023-04-12T00:00:00"/>
    <s v="CUST023"/>
    <x v="1"/>
    <x v="0"/>
    <n v="35"/>
    <x v="1"/>
    <n v="4"/>
    <n v="30"/>
    <n v="120"/>
    <n v="1.7999999999999998"/>
    <n v="2.4"/>
  </r>
  <r>
    <n v="24"/>
    <n v="29"/>
    <n v="11"/>
    <n v="2023"/>
    <d v="2023-11-29T00:00:00"/>
    <s v="CUST024"/>
    <x v="1"/>
    <x v="0"/>
    <n v="49"/>
    <x v="1"/>
    <n v="1"/>
    <n v="300"/>
    <n v="300"/>
    <n v="4.5"/>
    <n v="6"/>
  </r>
  <r>
    <n v="25"/>
    <n v="26"/>
    <n v="12"/>
    <n v="2023"/>
    <d v="2023-12-26T00:00:00"/>
    <s v="CUST025"/>
    <x v="1"/>
    <x v="2"/>
    <n v="64"/>
    <x v="0"/>
    <n v="1"/>
    <n v="50"/>
    <n v="50"/>
    <n v="0.75"/>
    <n v="1"/>
  </r>
  <r>
    <n v="26"/>
    <n v="7"/>
    <n v="10"/>
    <n v="2023"/>
    <d v="2023-10-07T00:00:00"/>
    <s v="CUST026"/>
    <x v="1"/>
    <x v="1"/>
    <n v="28"/>
    <x v="2"/>
    <n v="2"/>
    <n v="500"/>
    <n v="1000"/>
    <n v="15"/>
    <n v="20"/>
  </r>
  <r>
    <n v="27"/>
    <n v="3"/>
    <n v="8"/>
    <n v="2023"/>
    <d v="2023-08-03T00:00:00"/>
    <s v="CUST027"/>
    <x v="1"/>
    <x v="0"/>
    <n v="38"/>
    <x v="0"/>
    <n v="2"/>
    <n v="25"/>
    <n v="50"/>
    <n v="0.75"/>
    <n v="1"/>
  </r>
  <r>
    <n v="28"/>
    <n v="23"/>
    <n v="4"/>
    <n v="2023"/>
    <d v="2023-04-23T00:00:00"/>
    <s v="CUST028"/>
    <x v="1"/>
    <x v="0"/>
    <n v="43"/>
    <x v="0"/>
    <n v="1"/>
    <n v="500"/>
    <n v="500"/>
    <n v="7.5"/>
    <n v="10"/>
  </r>
  <r>
    <n v="29"/>
    <n v="18"/>
    <n v="8"/>
    <n v="2023"/>
    <d v="2023-08-18T00:00:00"/>
    <s v="CUST029"/>
    <x v="1"/>
    <x v="0"/>
    <n v="42"/>
    <x v="2"/>
    <n v="1"/>
    <n v="30"/>
    <n v="30"/>
    <n v="0.44999999999999996"/>
    <n v="0.6"/>
  </r>
  <r>
    <n v="30"/>
    <n v="29"/>
    <n v="10"/>
    <n v="2023"/>
    <d v="2023-10-29T00:00:00"/>
    <s v="CUST030"/>
    <x v="1"/>
    <x v="0"/>
    <n v="39"/>
    <x v="0"/>
    <n v="3"/>
    <n v="300"/>
    <n v="900"/>
    <n v="13.5"/>
    <n v="18"/>
  </r>
  <r>
    <n v="31"/>
    <n v="23"/>
    <n v="5"/>
    <n v="2023"/>
    <d v="2023-05-23T00:00:00"/>
    <s v="CUST031"/>
    <x v="0"/>
    <x v="0"/>
    <n v="44"/>
    <x v="2"/>
    <n v="4"/>
    <n v="300"/>
    <n v="1200"/>
    <n v="18"/>
    <n v="24"/>
  </r>
  <r>
    <n v="32"/>
    <n v="4"/>
    <n v="1"/>
    <n v="2023"/>
    <d v="2023-01-04T00:00:00"/>
    <s v="CUST032"/>
    <x v="0"/>
    <x v="0"/>
    <n v="30"/>
    <x v="0"/>
    <n v="3"/>
    <n v="30"/>
    <n v="90"/>
    <n v="1.3499999999999999"/>
    <n v="1.8"/>
  </r>
  <r>
    <n v="33"/>
    <n v="23"/>
    <n v="3"/>
    <n v="2023"/>
    <d v="2023-03-23T00:00:00"/>
    <s v="CUST033"/>
    <x v="1"/>
    <x v="2"/>
    <n v="50"/>
    <x v="2"/>
    <n v="2"/>
    <n v="50"/>
    <n v="100"/>
    <n v="1.5"/>
    <n v="2"/>
  </r>
  <r>
    <n v="34"/>
    <n v="24"/>
    <n v="12"/>
    <n v="2023"/>
    <d v="2023-12-24T00:00:00"/>
    <s v="CUST034"/>
    <x v="1"/>
    <x v="2"/>
    <n v="51"/>
    <x v="1"/>
    <n v="3"/>
    <n v="50"/>
    <n v="150"/>
    <n v="2.25"/>
    <n v="3"/>
  </r>
  <r>
    <n v="35"/>
    <n v="5"/>
    <n v="8"/>
    <n v="2023"/>
    <d v="2023-08-05T00:00:00"/>
    <s v="CUST035"/>
    <x v="1"/>
    <x v="2"/>
    <n v="58"/>
    <x v="0"/>
    <n v="3"/>
    <n v="300"/>
    <n v="900"/>
    <n v="13.5"/>
    <n v="18"/>
  </r>
  <r>
    <n v="36"/>
    <n v="24"/>
    <n v="6"/>
    <n v="2023"/>
    <d v="2023-06-24T00:00:00"/>
    <s v="CUST036"/>
    <x v="0"/>
    <x v="2"/>
    <n v="52"/>
    <x v="0"/>
    <n v="3"/>
    <n v="300"/>
    <n v="900"/>
    <n v="13.5"/>
    <n v="18"/>
  </r>
  <r>
    <n v="37"/>
    <n v="23"/>
    <n v="5"/>
    <n v="2023"/>
    <d v="2023-05-23T00:00:00"/>
    <s v="CUST037"/>
    <x v="1"/>
    <x v="1"/>
    <n v="18"/>
    <x v="0"/>
    <n v="3"/>
    <n v="25"/>
    <n v="75"/>
    <n v="1.125"/>
    <n v="1.5"/>
  </r>
  <r>
    <n v="38"/>
    <n v="21"/>
    <n v="3"/>
    <n v="2023"/>
    <d v="2023-03-21T00:00:00"/>
    <s v="CUST038"/>
    <x v="0"/>
    <x v="0"/>
    <n v="38"/>
    <x v="0"/>
    <n v="4"/>
    <n v="50"/>
    <n v="200"/>
    <n v="3"/>
    <n v="4"/>
  </r>
  <r>
    <n v="39"/>
    <n v="21"/>
    <n v="4"/>
    <n v="2023"/>
    <d v="2023-04-21T00:00:00"/>
    <s v="CUST039"/>
    <x v="0"/>
    <x v="1"/>
    <n v="23"/>
    <x v="1"/>
    <n v="4"/>
    <n v="30"/>
    <n v="120"/>
    <n v="1.7999999999999998"/>
    <n v="2.4"/>
  </r>
  <r>
    <n v="40"/>
    <n v="22"/>
    <n v="6"/>
    <n v="2023"/>
    <d v="2023-06-22T00:00:00"/>
    <s v="CUST040"/>
    <x v="0"/>
    <x v="0"/>
    <n v="45"/>
    <x v="0"/>
    <n v="1"/>
    <n v="50"/>
    <n v="50"/>
    <n v="0.75"/>
    <n v="1"/>
  </r>
  <r>
    <n v="41"/>
    <n v="22"/>
    <n v="2"/>
    <n v="2023"/>
    <d v="2023-02-22T00:00:00"/>
    <s v="CUST041"/>
    <x v="0"/>
    <x v="0"/>
    <n v="34"/>
    <x v="1"/>
    <n v="2"/>
    <n v="25"/>
    <n v="50"/>
    <n v="0.75"/>
    <n v="1"/>
  </r>
  <r>
    <n v="42"/>
    <n v="17"/>
    <n v="2"/>
    <n v="2023"/>
    <d v="2023-02-17T00:00:00"/>
    <s v="CUST042"/>
    <x v="0"/>
    <x v="1"/>
    <n v="22"/>
    <x v="1"/>
    <n v="3"/>
    <n v="300"/>
    <n v="900"/>
    <n v="13.5"/>
    <n v="18"/>
  </r>
  <r>
    <n v="43"/>
    <n v="14"/>
    <n v="7"/>
    <n v="2023"/>
    <d v="2023-07-14T00:00:00"/>
    <s v="CUST043"/>
    <x v="1"/>
    <x v="0"/>
    <n v="48"/>
    <x v="1"/>
    <n v="1"/>
    <n v="300"/>
    <n v="300"/>
    <n v="4.5"/>
    <n v="6"/>
  </r>
  <r>
    <n v="44"/>
    <n v="19"/>
    <n v="2"/>
    <n v="2023"/>
    <d v="2023-02-19T00:00:00"/>
    <s v="CUST044"/>
    <x v="1"/>
    <x v="1"/>
    <n v="22"/>
    <x v="1"/>
    <n v="1"/>
    <n v="25"/>
    <n v="25"/>
    <n v="0.375"/>
    <n v="0.5"/>
  </r>
  <r>
    <n v="45"/>
    <n v="3"/>
    <n v="7"/>
    <n v="2023"/>
    <d v="2023-07-03T00:00:00"/>
    <s v="CUST045"/>
    <x v="1"/>
    <x v="2"/>
    <n v="55"/>
    <x v="2"/>
    <n v="1"/>
    <n v="30"/>
    <n v="30"/>
    <n v="0.44999999999999996"/>
    <n v="0.6"/>
  </r>
  <r>
    <n v="46"/>
    <n v="26"/>
    <n v="6"/>
    <n v="2023"/>
    <d v="2023-06-26T00:00:00"/>
    <s v="CUST046"/>
    <x v="1"/>
    <x v="1"/>
    <n v="20"/>
    <x v="2"/>
    <n v="4"/>
    <n v="300"/>
    <n v="1200"/>
    <n v="18"/>
    <n v="24"/>
  </r>
  <r>
    <n v="47"/>
    <n v="6"/>
    <n v="11"/>
    <n v="2023"/>
    <d v="2023-11-06T00:00:00"/>
    <s v="CUST047"/>
    <x v="1"/>
    <x v="0"/>
    <n v="40"/>
    <x v="0"/>
    <n v="3"/>
    <n v="500"/>
    <n v="1500"/>
    <n v="22.5"/>
    <n v="30"/>
  </r>
  <r>
    <n v="48"/>
    <n v="16"/>
    <n v="5"/>
    <n v="2023"/>
    <d v="2023-05-16T00:00:00"/>
    <s v="CUST048"/>
    <x v="0"/>
    <x v="2"/>
    <n v="54"/>
    <x v="2"/>
    <n v="3"/>
    <n v="300"/>
    <n v="900"/>
    <n v="13.5"/>
    <n v="18"/>
  </r>
  <r>
    <n v="49"/>
    <n v="23"/>
    <n v="1"/>
    <n v="2023"/>
    <d v="2023-01-23T00:00:00"/>
    <s v="CUST049"/>
    <x v="1"/>
    <x v="2"/>
    <n v="54"/>
    <x v="2"/>
    <n v="2"/>
    <n v="500"/>
    <n v="1000"/>
    <n v="15"/>
    <n v="20"/>
  </r>
  <r>
    <n v="50"/>
    <n v="24"/>
    <n v="8"/>
    <n v="2023"/>
    <d v="2023-08-24T00:00:00"/>
    <s v="CUST050"/>
    <x v="1"/>
    <x v="1"/>
    <n v="27"/>
    <x v="0"/>
    <n v="3"/>
    <n v="25"/>
    <n v="75"/>
    <n v="1.125"/>
    <n v="1.5"/>
  </r>
  <r>
    <n v="51"/>
    <n v="2"/>
    <n v="10"/>
    <n v="2023"/>
    <d v="2023-10-02T00:00:00"/>
    <s v="CUST051"/>
    <x v="0"/>
    <x v="1"/>
    <n v="27"/>
    <x v="0"/>
    <n v="3"/>
    <n v="25"/>
    <n v="75"/>
    <n v="1.125"/>
    <n v="1.5"/>
  </r>
  <r>
    <n v="52"/>
    <n v="5"/>
    <n v="3"/>
    <n v="2023"/>
    <d v="2023-03-05T00:00:00"/>
    <s v="CUST052"/>
    <x v="1"/>
    <x v="0"/>
    <n v="36"/>
    <x v="0"/>
    <n v="1"/>
    <n v="300"/>
    <n v="300"/>
    <n v="4.5"/>
    <n v="6"/>
  </r>
  <r>
    <n v="53"/>
    <n v="13"/>
    <n v="7"/>
    <n v="2023"/>
    <d v="2023-07-13T00:00:00"/>
    <s v="CUST053"/>
    <x v="0"/>
    <x v="0"/>
    <n v="34"/>
    <x v="2"/>
    <n v="2"/>
    <n v="50"/>
    <n v="100"/>
    <n v="1.5"/>
    <n v="2"/>
  </r>
  <r>
    <n v="54"/>
    <n v="10"/>
    <n v="2"/>
    <n v="2023"/>
    <d v="2023-02-10T00:00:00"/>
    <s v="CUST054"/>
    <x v="1"/>
    <x v="0"/>
    <n v="38"/>
    <x v="2"/>
    <n v="3"/>
    <n v="500"/>
    <n v="1500"/>
    <n v="22.5"/>
    <n v="30"/>
  </r>
  <r>
    <n v="55"/>
    <n v="10"/>
    <n v="10"/>
    <n v="2023"/>
    <d v="2023-10-10T00:00:00"/>
    <s v="CUST055"/>
    <x v="0"/>
    <x v="0"/>
    <n v="31"/>
    <x v="0"/>
    <n v="4"/>
    <n v="30"/>
    <n v="120"/>
    <n v="1.7999999999999998"/>
    <n v="2.4"/>
  </r>
  <r>
    <n v="56"/>
    <n v="31"/>
    <n v="5"/>
    <n v="2023"/>
    <d v="2023-05-31T00:00:00"/>
    <s v="CUST056"/>
    <x v="1"/>
    <x v="1"/>
    <n v="26"/>
    <x v="1"/>
    <n v="3"/>
    <n v="300"/>
    <n v="900"/>
    <n v="13.5"/>
    <n v="18"/>
  </r>
  <r>
    <n v="57"/>
    <n v="18"/>
    <n v="11"/>
    <n v="2023"/>
    <d v="2023-11-18T00:00:00"/>
    <s v="CUST057"/>
    <x v="1"/>
    <x v="2"/>
    <n v="63"/>
    <x v="0"/>
    <n v="1"/>
    <n v="30"/>
    <n v="30"/>
    <n v="0.44999999999999996"/>
    <n v="0.6"/>
  </r>
  <r>
    <n v="58"/>
    <n v="13"/>
    <n v="11"/>
    <n v="2023"/>
    <d v="2023-11-13T00:00:00"/>
    <s v="CUST058"/>
    <x v="0"/>
    <x v="1"/>
    <n v="18"/>
    <x v="1"/>
    <n v="4"/>
    <n v="300"/>
    <n v="1200"/>
    <n v="18"/>
    <n v="24"/>
  </r>
  <r>
    <n v="59"/>
    <n v="5"/>
    <n v="7"/>
    <n v="2023"/>
    <d v="2023-07-05T00:00:00"/>
    <s v="CUST059"/>
    <x v="0"/>
    <x v="2"/>
    <n v="62"/>
    <x v="1"/>
    <n v="1"/>
    <n v="50"/>
    <n v="50"/>
    <n v="0.75"/>
    <n v="1"/>
  </r>
  <r>
    <n v="60"/>
    <n v="23"/>
    <n v="10"/>
    <n v="2023"/>
    <d v="2023-10-23T00:00:00"/>
    <s v="CUST060"/>
    <x v="0"/>
    <x v="0"/>
    <n v="30"/>
    <x v="0"/>
    <n v="3"/>
    <n v="50"/>
    <n v="150"/>
    <n v="2.25"/>
    <n v="3"/>
  </r>
  <r>
    <n v="61"/>
    <n v="9"/>
    <n v="4"/>
    <n v="2023"/>
    <d v="2023-04-09T00:00:00"/>
    <s v="CUST061"/>
    <x v="0"/>
    <x v="1"/>
    <n v="21"/>
    <x v="0"/>
    <n v="4"/>
    <n v="50"/>
    <n v="200"/>
    <n v="3"/>
    <n v="4"/>
  </r>
  <r>
    <n v="62"/>
    <n v="27"/>
    <n v="12"/>
    <n v="2023"/>
    <d v="2023-12-27T00:00:00"/>
    <s v="CUST062"/>
    <x v="0"/>
    <x v="1"/>
    <n v="18"/>
    <x v="0"/>
    <n v="2"/>
    <n v="50"/>
    <n v="100"/>
    <n v="1.5"/>
    <n v="2"/>
  </r>
  <r>
    <n v="63"/>
    <n v="5"/>
    <n v="2"/>
    <n v="2023"/>
    <d v="2023-02-05T00:00:00"/>
    <s v="CUST063"/>
    <x v="0"/>
    <x v="2"/>
    <n v="57"/>
    <x v="2"/>
    <n v="2"/>
    <n v="25"/>
    <n v="50"/>
    <n v="0.75"/>
    <n v="1"/>
  </r>
  <r>
    <n v="64"/>
    <n v="24"/>
    <n v="1"/>
    <n v="2023"/>
    <d v="2023-01-24T00:00:00"/>
    <s v="CUST064"/>
    <x v="0"/>
    <x v="0"/>
    <n v="49"/>
    <x v="1"/>
    <n v="4"/>
    <n v="25"/>
    <n v="100"/>
    <n v="1.5"/>
    <n v="2"/>
  </r>
  <r>
    <n v="65"/>
    <n v="5"/>
    <n v="12"/>
    <n v="2023"/>
    <d v="2023-12-05T00:00:00"/>
    <s v="CUST065"/>
    <x v="0"/>
    <x v="2"/>
    <n v="51"/>
    <x v="2"/>
    <n v="4"/>
    <n v="500"/>
    <n v="2000"/>
    <n v="30"/>
    <n v="40"/>
  </r>
  <r>
    <n v="66"/>
    <n v="27"/>
    <n v="4"/>
    <n v="2023"/>
    <d v="2023-04-27T00:00:00"/>
    <s v="CUST066"/>
    <x v="1"/>
    <x v="0"/>
    <n v="45"/>
    <x v="2"/>
    <n v="1"/>
    <n v="30"/>
    <n v="30"/>
    <n v="0.44999999999999996"/>
    <n v="0.6"/>
  </r>
  <r>
    <n v="67"/>
    <n v="29"/>
    <n v="5"/>
    <n v="2023"/>
    <d v="2023-05-29T00:00:00"/>
    <s v="CUST067"/>
    <x v="1"/>
    <x v="0"/>
    <n v="48"/>
    <x v="0"/>
    <n v="4"/>
    <n v="300"/>
    <n v="1200"/>
    <n v="18"/>
    <n v="24"/>
  </r>
  <r>
    <n v="68"/>
    <n v="10"/>
    <n v="2"/>
    <n v="2023"/>
    <d v="2023-02-10T00:00:00"/>
    <s v="CUST068"/>
    <x v="0"/>
    <x v="1"/>
    <n v="25"/>
    <x v="2"/>
    <n v="1"/>
    <n v="300"/>
    <n v="300"/>
    <n v="4.5"/>
    <n v="6"/>
  </r>
  <r>
    <n v="69"/>
    <n v="30"/>
    <n v="4"/>
    <n v="2023"/>
    <d v="2023-04-30T00:00:00"/>
    <s v="CUST069"/>
    <x v="1"/>
    <x v="2"/>
    <n v="56"/>
    <x v="0"/>
    <n v="3"/>
    <n v="25"/>
    <n v="75"/>
    <n v="1.125"/>
    <n v="1.5"/>
  </r>
  <r>
    <n v="70"/>
    <n v="21"/>
    <n v="2"/>
    <n v="2023"/>
    <d v="2023-02-21T00:00:00"/>
    <s v="CUST070"/>
    <x v="1"/>
    <x v="0"/>
    <n v="43"/>
    <x v="1"/>
    <n v="1"/>
    <n v="300"/>
    <n v="300"/>
    <n v="4.5"/>
    <n v="6"/>
  </r>
  <r>
    <n v="71"/>
    <n v="14"/>
    <n v="7"/>
    <n v="2023"/>
    <d v="2023-07-14T00:00:00"/>
    <s v="CUST071"/>
    <x v="1"/>
    <x v="2"/>
    <n v="51"/>
    <x v="0"/>
    <n v="4"/>
    <n v="25"/>
    <n v="100"/>
    <n v="1.5"/>
    <n v="2"/>
  </r>
  <r>
    <n v="72"/>
    <n v="23"/>
    <n v="5"/>
    <n v="2023"/>
    <d v="2023-05-23T00:00:00"/>
    <s v="CUST072"/>
    <x v="1"/>
    <x v="1"/>
    <n v="20"/>
    <x v="2"/>
    <n v="4"/>
    <n v="500"/>
    <n v="2000"/>
    <n v="30"/>
    <n v="40"/>
  </r>
  <r>
    <n v="73"/>
    <n v="21"/>
    <n v="8"/>
    <n v="2023"/>
    <d v="2023-08-21T00:00:00"/>
    <s v="CUST073"/>
    <x v="0"/>
    <x v="1"/>
    <n v="29"/>
    <x v="2"/>
    <n v="3"/>
    <n v="30"/>
    <n v="90"/>
    <n v="1.3499999999999999"/>
    <n v="1.8"/>
  </r>
  <r>
    <n v="74"/>
    <n v="22"/>
    <n v="11"/>
    <n v="2023"/>
    <d v="2023-11-22T00:00:00"/>
    <s v="CUST074"/>
    <x v="1"/>
    <x v="1"/>
    <n v="18"/>
    <x v="0"/>
    <n v="4"/>
    <n v="500"/>
    <n v="2000"/>
    <n v="30"/>
    <n v="40"/>
  </r>
  <r>
    <n v="75"/>
    <n v="6"/>
    <n v="7"/>
    <n v="2023"/>
    <d v="2023-07-06T00:00:00"/>
    <s v="CUST075"/>
    <x v="0"/>
    <x v="2"/>
    <n v="61"/>
    <x v="0"/>
    <n v="4"/>
    <n v="50"/>
    <n v="200"/>
    <n v="3"/>
    <n v="4"/>
  </r>
  <r>
    <n v="76"/>
    <n v="25"/>
    <n v="3"/>
    <n v="2023"/>
    <d v="2023-03-25T00:00:00"/>
    <s v="CUST076"/>
    <x v="1"/>
    <x v="1"/>
    <n v="22"/>
    <x v="2"/>
    <n v="2"/>
    <n v="50"/>
    <n v="100"/>
    <n v="1.5"/>
    <n v="2"/>
  </r>
  <r>
    <n v="77"/>
    <n v="9"/>
    <n v="7"/>
    <n v="2023"/>
    <d v="2023-07-09T00:00:00"/>
    <s v="CUST077"/>
    <x v="1"/>
    <x v="0"/>
    <n v="47"/>
    <x v="1"/>
    <n v="2"/>
    <n v="50"/>
    <n v="100"/>
    <n v="1.5"/>
    <n v="2"/>
  </r>
  <r>
    <n v="78"/>
    <n v="1"/>
    <n v="7"/>
    <n v="2023"/>
    <d v="2023-07-01T00:00:00"/>
    <s v="CUST078"/>
    <x v="1"/>
    <x v="0"/>
    <n v="47"/>
    <x v="1"/>
    <n v="3"/>
    <n v="500"/>
    <n v="1500"/>
    <n v="22.5"/>
    <n v="30"/>
  </r>
  <r>
    <n v="79"/>
    <n v="18"/>
    <n v="4"/>
    <n v="2023"/>
    <d v="2023-04-18T00:00:00"/>
    <s v="CUST079"/>
    <x v="0"/>
    <x v="0"/>
    <n v="34"/>
    <x v="0"/>
    <n v="1"/>
    <n v="300"/>
    <n v="300"/>
    <n v="4.5"/>
    <n v="6"/>
  </r>
  <r>
    <n v="80"/>
    <n v="10"/>
    <n v="12"/>
    <n v="2023"/>
    <d v="2023-12-10T00:00:00"/>
    <s v="CUST080"/>
    <x v="1"/>
    <x v="2"/>
    <n v="64"/>
    <x v="1"/>
    <n v="2"/>
    <n v="30"/>
    <n v="60"/>
    <n v="0.89999999999999991"/>
    <n v="1.2"/>
  </r>
  <r>
    <n v="81"/>
    <n v="17"/>
    <n v="5"/>
    <n v="2023"/>
    <d v="2023-05-17T00:00:00"/>
    <s v="CUST081"/>
    <x v="0"/>
    <x v="0"/>
    <n v="40"/>
    <x v="2"/>
    <n v="1"/>
    <n v="50"/>
    <n v="50"/>
    <n v="0.75"/>
    <n v="1"/>
  </r>
  <r>
    <n v="82"/>
    <n v="26"/>
    <n v="12"/>
    <n v="2023"/>
    <d v="2023-12-26T00:00:00"/>
    <s v="CUST082"/>
    <x v="1"/>
    <x v="0"/>
    <n v="32"/>
    <x v="0"/>
    <n v="4"/>
    <n v="50"/>
    <n v="200"/>
    <n v="3"/>
    <n v="4"/>
  </r>
  <r>
    <n v="83"/>
    <n v="16"/>
    <n v="12"/>
    <n v="2023"/>
    <d v="2023-12-16T00:00:00"/>
    <s v="CUST083"/>
    <x v="0"/>
    <x v="2"/>
    <n v="54"/>
    <x v="2"/>
    <n v="2"/>
    <n v="50"/>
    <n v="100"/>
    <n v="1.5"/>
    <n v="2"/>
  </r>
  <r>
    <n v="84"/>
    <n v="28"/>
    <n v="11"/>
    <n v="2023"/>
    <d v="2023-11-28T00:00:00"/>
    <s v="CUST084"/>
    <x v="1"/>
    <x v="0"/>
    <n v="38"/>
    <x v="2"/>
    <n v="3"/>
    <n v="30"/>
    <n v="90"/>
    <n v="1.3499999999999999"/>
    <n v="1.8"/>
  </r>
  <r>
    <n v="85"/>
    <n v="6"/>
    <n v="2"/>
    <n v="2023"/>
    <d v="2023-02-06T00:00:00"/>
    <s v="CUST085"/>
    <x v="0"/>
    <x v="0"/>
    <n v="31"/>
    <x v="1"/>
    <n v="3"/>
    <n v="50"/>
    <n v="150"/>
    <n v="2.25"/>
    <n v="3"/>
  </r>
  <r>
    <n v="86"/>
    <n v="8"/>
    <n v="11"/>
    <n v="2023"/>
    <d v="2023-11-08T00:00:00"/>
    <s v="CUST086"/>
    <x v="0"/>
    <x v="1"/>
    <n v="19"/>
    <x v="0"/>
    <n v="3"/>
    <n v="30"/>
    <n v="90"/>
    <n v="1.3499999999999999"/>
    <n v="1.8"/>
  </r>
  <r>
    <n v="87"/>
    <n v="22"/>
    <n v="11"/>
    <n v="2023"/>
    <d v="2023-11-22T00:00:00"/>
    <s v="CUST087"/>
    <x v="1"/>
    <x v="1"/>
    <n v="28"/>
    <x v="0"/>
    <n v="2"/>
    <n v="50"/>
    <n v="100"/>
    <n v="1.5"/>
    <n v="2"/>
  </r>
  <r>
    <n v="88"/>
    <n v="29"/>
    <n v="3"/>
    <n v="2023"/>
    <d v="2023-03-29T00:00:00"/>
    <s v="CUST088"/>
    <x v="0"/>
    <x v="2"/>
    <n v="56"/>
    <x v="1"/>
    <n v="1"/>
    <n v="500"/>
    <n v="500"/>
    <n v="7.5"/>
    <n v="10"/>
  </r>
  <r>
    <n v="89"/>
    <n v="1"/>
    <n v="10"/>
    <n v="2023"/>
    <d v="2023-10-01T00:00:00"/>
    <s v="CUST089"/>
    <x v="1"/>
    <x v="2"/>
    <n v="55"/>
    <x v="2"/>
    <n v="4"/>
    <n v="500"/>
    <n v="2000"/>
    <n v="30"/>
    <n v="40"/>
  </r>
  <r>
    <n v="90"/>
    <n v="6"/>
    <n v="5"/>
    <n v="2023"/>
    <d v="2023-05-06T00:00:00"/>
    <s v="CUST090"/>
    <x v="1"/>
    <x v="2"/>
    <n v="51"/>
    <x v="2"/>
    <n v="1"/>
    <n v="30"/>
    <n v="30"/>
    <n v="0.44999999999999996"/>
    <n v="0.6"/>
  </r>
  <r>
    <n v="91"/>
    <n v="25"/>
    <n v="3"/>
    <n v="2023"/>
    <d v="2023-03-25T00:00:00"/>
    <s v="CUST091"/>
    <x v="1"/>
    <x v="2"/>
    <n v="55"/>
    <x v="2"/>
    <n v="1"/>
    <n v="500"/>
    <n v="500"/>
    <n v="7.5"/>
    <n v="10"/>
  </r>
  <r>
    <n v="92"/>
    <n v="25"/>
    <n v="8"/>
    <n v="2023"/>
    <d v="2023-08-25T00:00:00"/>
    <s v="CUST092"/>
    <x v="1"/>
    <x v="2"/>
    <n v="51"/>
    <x v="2"/>
    <n v="4"/>
    <n v="30"/>
    <n v="120"/>
    <n v="1.7999999999999998"/>
    <n v="2.4"/>
  </r>
  <r>
    <n v="93"/>
    <n v="14"/>
    <n v="7"/>
    <n v="2023"/>
    <d v="2023-07-14T00:00:00"/>
    <s v="CUST093"/>
    <x v="1"/>
    <x v="0"/>
    <n v="35"/>
    <x v="0"/>
    <n v="4"/>
    <n v="500"/>
    <n v="2000"/>
    <n v="30"/>
    <n v="40"/>
  </r>
  <r>
    <n v="94"/>
    <n v="19"/>
    <n v="5"/>
    <n v="2023"/>
    <d v="2023-05-19T00:00:00"/>
    <s v="CUST094"/>
    <x v="1"/>
    <x v="0"/>
    <n v="47"/>
    <x v="0"/>
    <n v="2"/>
    <n v="500"/>
    <n v="1000"/>
    <n v="15"/>
    <n v="20"/>
  </r>
  <r>
    <n v="95"/>
    <n v="24"/>
    <n v="11"/>
    <n v="2023"/>
    <d v="2023-11-24T00:00:00"/>
    <s v="CUST095"/>
    <x v="1"/>
    <x v="0"/>
    <n v="32"/>
    <x v="1"/>
    <n v="2"/>
    <n v="30"/>
    <n v="60"/>
    <n v="0.89999999999999991"/>
    <n v="1.2"/>
  </r>
  <r>
    <n v="96"/>
    <n v="19"/>
    <n v="12"/>
    <n v="2023"/>
    <d v="2023-12-19T00:00:00"/>
    <s v="CUST096"/>
    <x v="1"/>
    <x v="0"/>
    <n v="44"/>
    <x v="1"/>
    <n v="2"/>
    <n v="300"/>
    <n v="600"/>
    <n v="9"/>
    <n v="12"/>
  </r>
  <r>
    <n v="97"/>
    <n v="13"/>
    <n v="10"/>
    <n v="2023"/>
    <d v="2023-10-13T00:00:00"/>
    <s v="CUST097"/>
    <x v="1"/>
    <x v="2"/>
    <n v="51"/>
    <x v="0"/>
    <n v="2"/>
    <n v="500"/>
    <n v="1000"/>
    <n v="15"/>
    <n v="20"/>
  </r>
  <r>
    <n v="98"/>
    <n v="23"/>
    <n v="4"/>
    <n v="2023"/>
    <d v="2023-04-23T00:00:00"/>
    <s v="CUST098"/>
    <x v="1"/>
    <x v="2"/>
    <n v="55"/>
    <x v="0"/>
    <n v="2"/>
    <n v="50"/>
    <n v="100"/>
    <n v="1.5"/>
    <n v="2"/>
  </r>
  <r>
    <n v="99"/>
    <n v="17"/>
    <n v="12"/>
    <n v="2023"/>
    <d v="2023-12-17T00:00:00"/>
    <s v="CUST099"/>
    <x v="1"/>
    <x v="2"/>
    <n v="50"/>
    <x v="2"/>
    <n v="4"/>
    <n v="300"/>
    <n v="1200"/>
    <n v="18"/>
    <n v="24"/>
  </r>
  <r>
    <n v="100"/>
    <n v="16"/>
    <n v="6"/>
    <n v="2023"/>
    <d v="2023-06-16T00:00:00"/>
    <s v="CUST100"/>
    <x v="0"/>
    <x v="0"/>
    <n v="41"/>
    <x v="2"/>
    <n v="1"/>
    <n v="30"/>
    <n v="30"/>
    <n v="0.44999999999999996"/>
    <n v="0.6"/>
  </r>
  <r>
    <n v="101"/>
    <n v="29"/>
    <n v="1"/>
    <n v="2023"/>
    <d v="2023-01-29T00:00:00"/>
    <s v="CUST101"/>
    <x v="0"/>
    <x v="0"/>
    <n v="32"/>
    <x v="1"/>
    <n v="2"/>
    <n v="300"/>
    <n v="600"/>
    <n v="9"/>
    <n v="12"/>
  </r>
  <r>
    <n v="102"/>
    <n v="28"/>
    <n v="4"/>
    <n v="2023"/>
    <d v="2023-04-28T00:00:00"/>
    <s v="CUST102"/>
    <x v="1"/>
    <x v="0"/>
    <n v="47"/>
    <x v="0"/>
    <n v="2"/>
    <n v="25"/>
    <n v="50"/>
    <n v="0.75"/>
    <n v="1"/>
  </r>
  <r>
    <n v="103"/>
    <n v="17"/>
    <n v="1"/>
    <n v="2023"/>
    <d v="2023-01-17T00:00:00"/>
    <s v="CUST103"/>
    <x v="1"/>
    <x v="2"/>
    <n v="59"/>
    <x v="1"/>
    <n v="1"/>
    <n v="25"/>
    <n v="25"/>
    <n v="0.375"/>
    <n v="0.5"/>
  </r>
  <r>
    <n v="104"/>
    <n v="11"/>
    <n v="6"/>
    <n v="2023"/>
    <d v="2023-06-11T00:00:00"/>
    <s v="CUST104"/>
    <x v="1"/>
    <x v="0"/>
    <n v="34"/>
    <x v="0"/>
    <n v="2"/>
    <n v="500"/>
    <n v="1000"/>
    <n v="15"/>
    <n v="20"/>
  </r>
  <r>
    <n v="105"/>
    <n v="25"/>
    <n v="7"/>
    <n v="2023"/>
    <d v="2023-07-25T00:00:00"/>
    <s v="CUST105"/>
    <x v="1"/>
    <x v="1"/>
    <n v="22"/>
    <x v="2"/>
    <n v="1"/>
    <n v="500"/>
    <n v="500"/>
    <n v="7.5"/>
    <n v="10"/>
  </r>
  <r>
    <n v="106"/>
    <n v="18"/>
    <n v="5"/>
    <n v="2023"/>
    <d v="2023-05-18T00:00:00"/>
    <s v="CUST106"/>
    <x v="1"/>
    <x v="0"/>
    <n v="46"/>
    <x v="1"/>
    <n v="1"/>
    <n v="50"/>
    <n v="50"/>
    <n v="0.75"/>
    <n v="1"/>
  </r>
  <r>
    <n v="107"/>
    <n v="3"/>
    <n v="2"/>
    <n v="2023"/>
    <d v="2023-02-03T00:00:00"/>
    <s v="CUST107"/>
    <x v="1"/>
    <x v="1"/>
    <n v="21"/>
    <x v="1"/>
    <n v="4"/>
    <n v="300"/>
    <n v="1200"/>
    <n v="18"/>
    <n v="24"/>
  </r>
  <r>
    <n v="108"/>
    <n v="19"/>
    <n v="4"/>
    <n v="2023"/>
    <d v="2023-04-19T00:00:00"/>
    <s v="CUST108"/>
    <x v="1"/>
    <x v="1"/>
    <n v="27"/>
    <x v="0"/>
    <n v="3"/>
    <n v="25"/>
    <n v="75"/>
    <n v="1.125"/>
    <n v="1.5"/>
  </r>
  <r>
    <n v="109"/>
    <n v="18"/>
    <n v="10"/>
    <n v="2023"/>
    <d v="2023-10-18T00:00:00"/>
    <s v="CUST109"/>
    <x v="1"/>
    <x v="0"/>
    <n v="34"/>
    <x v="2"/>
    <n v="4"/>
    <n v="500"/>
    <n v="2000"/>
    <n v="30"/>
    <n v="40"/>
  </r>
  <r>
    <n v="110"/>
    <n v="11"/>
    <n v="6"/>
    <n v="2023"/>
    <d v="2023-06-11T00:00:00"/>
    <s v="CUST110"/>
    <x v="0"/>
    <x v="1"/>
    <n v="27"/>
    <x v="1"/>
    <n v="3"/>
    <n v="300"/>
    <n v="900"/>
    <n v="13.5"/>
    <n v="18"/>
  </r>
  <r>
    <n v="111"/>
    <n v="19"/>
    <n v="4"/>
    <n v="2023"/>
    <d v="2023-04-19T00:00:00"/>
    <s v="CUST111"/>
    <x v="1"/>
    <x v="0"/>
    <n v="34"/>
    <x v="2"/>
    <n v="3"/>
    <n v="500"/>
    <n v="1500"/>
    <n v="22.5"/>
    <n v="30"/>
  </r>
  <r>
    <n v="112"/>
    <n v="2"/>
    <n v="12"/>
    <n v="2023"/>
    <d v="2023-12-02T00:00:00"/>
    <s v="CUST112"/>
    <x v="0"/>
    <x v="0"/>
    <n v="37"/>
    <x v="1"/>
    <n v="3"/>
    <n v="500"/>
    <n v="1500"/>
    <n v="22.5"/>
    <n v="30"/>
  </r>
  <r>
    <n v="113"/>
    <n v="13"/>
    <n v="9"/>
    <n v="2023"/>
    <d v="2023-09-13T00:00:00"/>
    <s v="CUST113"/>
    <x v="1"/>
    <x v="0"/>
    <n v="41"/>
    <x v="2"/>
    <n v="2"/>
    <n v="25"/>
    <n v="50"/>
    <n v="0.75"/>
    <n v="1"/>
  </r>
  <r>
    <n v="114"/>
    <n v="22"/>
    <n v="7"/>
    <n v="2023"/>
    <d v="2023-07-22T00:00:00"/>
    <s v="CUST114"/>
    <x v="1"/>
    <x v="1"/>
    <n v="22"/>
    <x v="0"/>
    <n v="4"/>
    <n v="25"/>
    <n v="100"/>
    <n v="1.5"/>
    <n v="2"/>
  </r>
  <r>
    <n v="115"/>
    <n v="26"/>
    <n v="11"/>
    <n v="2023"/>
    <d v="2023-11-26T00:00:00"/>
    <s v="CUST115"/>
    <x v="0"/>
    <x v="2"/>
    <n v="51"/>
    <x v="1"/>
    <n v="3"/>
    <n v="500"/>
    <n v="1500"/>
    <n v="22.5"/>
    <n v="30"/>
  </r>
  <r>
    <n v="116"/>
    <n v="23"/>
    <n v="8"/>
    <n v="2023"/>
    <d v="2023-08-23T00:00:00"/>
    <s v="CUST116"/>
    <x v="1"/>
    <x v="1"/>
    <n v="23"/>
    <x v="1"/>
    <n v="1"/>
    <n v="30"/>
    <n v="30"/>
    <n v="0.44999999999999996"/>
    <n v="0.6"/>
  </r>
  <r>
    <n v="117"/>
    <n v="15"/>
    <n v="3"/>
    <n v="2023"/>
    <d v="2023-03-15T00:00:00"/>
    <s v="CUST117"/>
    <x v="0"/>
    <x v="1"/>
    <n v="19"/>
    <x v="2"/>
    <n v="2"/>
    <n v="500"/>
    <n v="1000"/>
    <n v="15"/>
    <n v="20"/>
  </r>
  <r>
    <n v="118"/>
    <n v="16"/>
    <n v="5"/>
    <n v="2023"/>
    <d v="2023-05-16T00:00:00"/>
    <s v="CUST118"/>
    <x v="1"/>
    <x v="0"/>
    <n v="30"/>
    <x v="2"/>
    <n v="4"/>
    <n v="500"/>
    <n v="2000"/>
    <n v="30"/>
    <n v="40"/>
  </r>
  <r>
    <n v="119"/>
    <n v="13"/>
    <n v="3"/>
    <n v="2023"/>
    <d v="2023-03-13T00:00:00"/>
    <s v="CUST119"/>
    <x v="1"/>
    <x v="2"/>
    <n v="60"/>
    <x v="1"/>
    <n v="3"/>
    <n v="50"/>
    <n v="150"/>
    <n v="2.25"/>
    <n v="3"/>
  </r>
  <r>
    <n v="120"/>
    <n v="7"/>
    <n v="5"/>
    <n v="2023"/>
    <d v="2023-05-07T00:00:00"/>
    <s v="CUST120"/>
    <x v="0"/>
    <x v="2"/>
    <n v="60"/>
    <x v="0"/>
    <n v="1"/>
    <n v="50"/>
    <n v="50"/>
    <n v="0.75"/>
    <n v="1"/>
  </r>
  <r>
    <n v="121"/>
    <n v="15"/>
    <n v="10"/>
    <n v="2023"/>
    <d v="2023-10-15T00:00:00"/>
    <s v="CUST121"/>
    <x v="1"/>
    <x v="1"/>
    <n v="28"/>
    <x v="2"/>
    <n v="4"/>
    <n v="50"/>
    <n v="200"/>
    <n v="3"/>
    <n v="4"/>
  </r>
  <r>
    <n v="122"/>
    <n v="3"/>
    <n v="10"/>
    <n v="2023"/>
    <d v="2023-10-03T00:00:00"/>
    <s v="CUST122"/>
    <x v="0"/>
    <x v="2"/>
    <n v="64"/>
    <x v="2"/>
    <n v="4"/>
    <n v="30"/>
    <n v="120"/>
    <n v="1.7999999999999998"/>
    <n v="2.4"/>
  </r>
  <r>
    <n v="123"/>
    <n v="15"/>
    <n v="5"/>
    <n v="2023"/>
    <d v="2023-05-15T00:00:00"/>
    <s v="CUST123"/>
    <x v="1"/>
    <x v="0"/>
    <n v="40"/>
    <x v="2"/>
    <n v="2"/>
    <n v="30"/>
    <n v="60"/>
    <n v="0.89999999999999991"/>
    <n v="1.2"/>
  </r>
  <r>
    <n v="124"/>
    <n v="27"/>
    <n v="10"/>
    <n v="2023"/>
    <d v="2023-10-27T00:00:00"/>
    <s v="CUST124"/>
    <x v="0"/>
    <x v="0"/>
    <n v="33"/>
    <x v="1"/>
    <n v="4"/>
    <n v="500"/>
    <n v="2000"/>
    <n v="30"/>
    <n v="40"/>
  </r>
  <r>
    <n v="125"/>
    <n v="8"/>
    <n v="8"/>
    <n v="2023"/>
    <d v="2023-08-08T00:00:00"/>
    <s v="CUST125"/>
    <x v="0"/>
    <x v="0"/>
    <n v="48"/>
    <x v="1"/>
    <n v="2"/>
    <n v="50"/>
    <n v="100"/>
    <n v="1.5"/>
    <n v="2"/>
  </r>
  <r>
    <n v="126"/>
    <n v="26"/>
    <n v="10"/>
    <n v="2023"/>
    <d v="2023-10-26T00:00:00"/>
    <s v="CUST126"/>
    <x v="1"/>
    <x v="1"/>
    <n v="28"/>
    <x v="1"/>
    <n v="3"/>
    <n v="30"/>
    <n v="90"/>
    <n v="1.3499999999999999"/>
    <n v="1.8"/>
  </r>
  <r>
    <n v="127"/>
    <n v="24"/>
    <n v="7"/>
    <n v="2023"/>
    <d v="2023-07-24T00:00:00"/>
    <s v="CUST127"/>
    <x v="1"/>
    <x v="0"/>
    <n v="33"/>
    <x v="1"/>
    <n v="2"/>
    <n v="25"/>
    <n v="50"/>
    <n v="0.75"/>
    <n v="1"/>
  </r>
  <r>
    <n v="128"/>
    <n v="5"/>
    <n v="7"/>
    <n v="2023"/>
    <d v="2023-07-05T00:00:00"/>
    <s v="CUST128"/>
    <x v="0"/>
    <x v="1"/>
    <n v="25"/>
    <x v="0"/>
    <n v="1"/>
    <n v="500"/>
    <n v="500"/>
    <n v="7.5"/>
    <n v="10"/>
  </r>
  <r>
    <n v="129"/>
    <n v="23"/>
    <n v="4"/>
    <n v="2023"/>
    <d v="2023-04-23T00:00:00"/>
    <s v="CUST129"/>
    <x v="1"/>
    <x v="1"/>
    <n v="21"/>
    <x v="0"/>
    <n v="2"/>
    <n v="300"/>
    <n v="600"/>
    <n v="9"/>
    <n v="12"/>
  </r>
  <r>
    <n v="130"/>
    <n v="12"/>
    <n v="3"/>
    <n v="2023"/>
    <d v="2023-03-12T00:00:00"/>
    <s v="CUST130"/>
    <x v="1"/>
    <x v="2"/>
    <n v="57"/>
    <x v="1"/>
    <n v="1"/>
    <n v="500"/>
    <n v="500"/>
    <n v="7.5"/>
    <n v="10"/>
  </r>
  <r>
    <n v="131"/>
    <n v="18"/>
    <n v="9"/>
    <n v="2023"/>
    <d v="2023-09-18T00:00:00"/>
    <s v="CUST131"/>
    <x v="1"/>
    <x v="1"/>
    <n v="21"/>
    <x v="0"/>
    <n v="2"/>
    <n v="300"/>
    <n v="600"/>
    <n v="9"/>
    <n v="12"/>
  </r>
  <r>
    <n v="132"/>
    <n v="10"/>
    <n v="9"/>
    <n v="2023"/>
    <d v="2023-09-10T00:00:00"/>
    <s v="CUST132"/>
    <x v="0"/>
    <x v="0"/>
    <n v="42"/>
    <x v="2"/>
    <n v="4"/>
    <n v="50"/>
    <n v="200"/>
    <n v="3"/>
    <n v="4"/>
  </r>
  <r>
    <n v="133"/>
    <n v="16"/>
    <n v="2"/>
    <n v="2023"/>
    <d v="2023-02-16T00:00:00"/>
    <s v="CUST133"/>
    <x v="0"/>
    <x v="1"/>
    <n v="20"/>
    <x v="2"/>
    <n v="3"/>
    <n v="300"/>
    <n v="900"/>
    <n v="13.5"/>
    <n v="18"/>
  </r>
  <r>
    <n v="134"/>
    <n v="25"/>
    <n v="1"/>
    <n v="2023"/>
    <d v="2023-01-25T00:00:00"/>
    <s v="CUST134"/>
    <x v="0"/>
    <x v="0"/>
    <n v="49"/>
    <x v="2"/>
    <n v="1"/>
    <n v="50"/>
    <n v="50"/>
    <n v="0.75"/>
    <n v="1"/>
  </r>
  <r>
    <n v="135"/>
    <n v="26"/>
    <n v="2"/>
    <n v="2023"/>
    <d v="2023-02-26T00:00:00"/>
    <s v="CUST135"/>
    <x v="0"/>
    <x v="1"/>
    <n v="20"/>
    <x v="1"/>
    <n v="2"/>
    <n v="25"/>
    <n v="50"/>
    <n v="0.75"/>
    <n v="1"/>
  </r>
  <r>
    <n v="136"/>
    <n v="20"/>
    <n v="3"/>
    <n v="2023"/>
    <d v="2023-03-20T00:00:00"/>
    <s v="CUST136"/>
    <x v="0"/>
    <x v="0"/>
    <n v="44"/>
    <x v="2"/>
    <n v="2"/>
    <n v="300"/>
    <n v="600"/>
    <n v="9"/>
    <n v="12"/>
  </r>
  <r>
    <n v="137"/>
    <n v="18"/>
    <n v="11"/>
    <n v="2023"/>
    <d v="2023-11-18T00:00:00"/>
    <s v="CUST137"/>
    <x v="0"/>
    <x v="0"/>
    <n v="46"/>
    <x v="0"/>
    <n v="2"/>
    <n v="500"/>
    <n v="1000"/>
    <n v="15"/>
    <n v="20"/>
  </r>
  <r>
    <n v="138"/>
    <n v="23"/>
    <n v="3"/>
    <n v="2023"/>
    <d v="2023-03-23T00:00:00"/>
    <s v="CUST138"/>
    <x v="0"/>
    <x v="0"/>
    <n v="49"/>
    <x v="1"/>
    <n v="4"/>
    <n v="50"/>
    <n v="200"/>
    <n v="3"/>
    <n v="4"/>
  </r>
  <r>
    <n v="139"/>
    <n v="15"/>
    <n v="12"/>
    <n v="2023"/>
    <d v="2023-12-15T00:00:00"/>
    <s v="CUST139"/>
    <x v="0"/>
    <x v="0"/>
    <n v="36"/>
    <x v="0"/>
    <n v="4"/>
    <n v="500"/>
    <n v="2000"/>
    <n v="30"/>
    <n v="40"/>
  </r>
  <r>
    <n v="140"/>
    <n v="5"/>
    <n v="8"/>
    <n v="2023"/>
    <d v="2023-08-05T00:00:00"/>
    <s v="CUST140"/>
    <x v="0"/>
    <x v="0"/>
    <n v="38"/>
    <x v="2"/>
    <n v="1"/>
    <n v="30"/>
    <n v="30"/>
    <n v="0.44999999999999996"/>
    <n v="0.6"/>
  </r>
  <r>
    <n v="141"/>
    <n v="2"/>
    <n v="11"/>
    <n v="2023"/>
    <d v="2023-11-02T00:00:00"/>
    <s v="CUST141"/>
    <x v="1"/>
    <x v="1"/>
    <n v="22"/>
    <x v="2"/>
    <n v="1"/>
    <n v="50"/>
    <n v="50"/>
    <n v="0.75"/>
    <n v="1"/>
  </r>
  <r>
    <n v="142"/>
    <n v="2"/>
    <n v="2"/>
    <n v="2023"/>
    <d v="2023-02-02T00:00:00"/>
    <s v="CUST142"/>
    <x v="0"/>
    <x v="0"/>
    <n v="35"/>
    <x v="2"/>
    <n v="4"/>
    <n v="300"/>
    <n v="1200"/>
    <n v="18"/>
    <n v="24"/>
  </r>
  <r>
    <n v="143"/>
    <n v="17"/>
    <n v="7"/>
    <n v="2023"/>
    <d v="2023-07-17T00:00:00"/>
    <s v="CUST143"/>
    <x v="1"/>
    <x v="0"/>
    <n v="45"/>
    <x v="1"/>
    <n v="1"/>
    <n v="50"/>
    <n v="50"/>
    <n v="0.75"/>
    <n v="1"/>
  </r>
  <r>
    <n v="144"/>
    <n v="15"/>
    <n v="7"/>
    <n v="2023"/>
    <d v="2023-07-15T00:00:00"/>
    <s v="CUST144"/>
    <x v="1"/>
    <x v="2"/>
    <n v="59"/>
    <x v="0"/>
    <n v="3"/>
    <n v="500"/>
    <n v="1500"/>
    <n v="22.5"/>
    <n v="30"/>
  </r>
  <r>
    <n v="145"/>
    <n v="2"/>
    <n v="11"/>
    <n v="2023"/>
    <d v="2023-11-02T00:00:00"/>
    <s v="CUST145"/>
    <x v="1"/>
    <x v="0"/>
    <n v="39"/>
    <x v="1"/>
    <n v="3"/>
    <n v="25"/>
    <n v="75"/>
    <n v="1.125"/>
    <n v="1.5"/>
  </r>
  <r>
    <n v="146"/>
    <n v="28"/>
    <n v="8"/>
    <n v="2023"/>
    <d v="2023-08-28T00:00:00"/>
    <s v="CUST146"/>
    <x v="0"/>
    <x v="0"/>
    <n v="38"/>
    <x v="1"/>
    <n v="4"/>
    <n v="50"/>
    <n v="200"/>
    <n v="3"/>
    <n v="4"/>
  </r>
  <r>
    <n v="147"/>
    <n v="28"/>
    <n v="9"/>
    <n v="2023"/>
    <d v="2023-09-28T00:00:00"/>
    <s v="CUST147"/>
    <x v="0"/>
    <x v="1"/>
    <n v="23"/>
    <x v="2"/>
    <n v="1"/>
    <n v="300"/>
    <n v="300"/>
    <n v="4.5"/>
    <n v="6"/>
  </r>
  <r>
    <n v="148"/>
    <n v="9"/>
    <n v="5"/>
    <n v="2023"/>
    <d v="2023-05-09T00:00:00"/>
    <s v="CUST148"/>
    <x v="0"/>
    <x v="1"/>
    <n v="18"/>
    <x v="1"/>
    <n v="2"/>
    <n v="30"/>
    <n v="60"/>
    <n v="0.89999999999999991"/>
    <n v="1.2"/>
  </r>
  <r>
    <n v="149"/>
    <n v="11"/>
    <n v="10"/>
    <n v="2023"/>
    <d v="2023-10-11T00:00:00"/>
    <s v="CUST149"/>
    <x v="0"/>
    <x v="1"/>
    <n v="22"/>
    <x v="1"/>
    <n v="3"/>
    <n v="25"/>
    <n v="75"/>
    <n v="1.125"/>
    <n v="1.5"/>
  </r>
  <r>
    <n v="150"/>
    <n v="6"/>
    <n v="1"/>
    <n v="2023"/>
    <d v="2023-01-06T00:00:00"/>
    <s v="CUST150"/>
    <x v="1"/>
    <x v="2"/>
    <n v="58"/>
    <x v="2"/>
    <n v="4"/>
    <n v="30"/>
    <n v="120"/>
    <n v="1.7999999999999998"/>
    <n v="2.4"/>
  </r>
  <r>
    <n v="151"/>
    <n v="15"/>
    <n v="12"/>
    <n v="2023"/>
    <d v="2023-12-15T00:00:00"/>
    <s v="CUST151"/>
    <x v="0"/>
    <x v="1"/>
    <n v="29"/>
    <x v="1"/>
    <n v="1"/>
    <n v="50"/>
    <n v="50"/>
    <n v="0.75"/>
    <n v="1"/>
  </r>
  <r>
    <n v="152"/>
    <n v="28"/>
    <n v="2"/>
    <n v="2023"/>
    <d v="2023-02-28T00:00:00"/>
    <s v="CUST152"/>
    <x v="0"/>
    <x v="0"/>
    <n v="43"/>
    <x v="2"/>
    <n v="4"/>
    <n v="500"/>
    <n v="2000"/>
    <n v="30"/>
    <n v="40"/>
  </r>
  <r>
    <n v="153"/>
    <n v="16"/>
    <n v="12"/>
    <n v="2023"/>
    <d v="2023-12-16T00:00:00"/>
    <s v="CUST153"/>
    <x v="0"/>
    <x v="2"/>
    <n v="63"/>
    <x v="2"/>
    <n v="2"/>
    <n v="500"/>
    <n v="1000"/>
    <n v="15"/>
    <n v="20"/>
  </r>
  <r>
    <n v="154"/>
    <n v="2"/>
    <n v="10"/>
    <n v="2023"/>
    <d v="2023-10-02T00:00:00"/>
    <s v="CUST154"/>
    <x v="0"/>
    <x v="2"/>
    <n v="51"/>
    <x v="2"/>
    <n v="3"/>
    <n v="300"/>
    <n v="900"/>
    <n v="13.5"/>
    <n v="18"/>
  </r>
  <r>
    <n v="155"/>
    <n v="17"/>
    <n v="5"/>
    <n v="2023"/>
    <d v="2023-05-17T00:00:00"/>
    <s v="CUST155"/>
    <x v="0"/>
    <x v="0"/>
    <n v="31"/>
    <x v="2"/>
    <n v="4"/>
    <n v="500"/>
    <n v="2000"/>
    <n v="30"/>
    <n v="40"/>
  </r>
  <r>
    <n v="156"/>
    <n v="25"/>
    <n v="11"/>
    <n v="2023"/>
    <d v="2023-11-25T00:00:00"/>
    <s v="CUST156"/>
    <x v="1"/>
    <x v="0"/>
    <n v="43"/>
    <x v="1"/>
    <n v="4"/>
    <n v="25"/>
    <n v="100"/>
    <n v="1.5"/>
    <n v="2"/>
  </r>
  <r>
    <n v="157"/>
    <n v="24"/>
    <n v="6"/>
    <n v="2023"/>
    <d v="2023-06-24T00:00:00"/>
    <s v="CUST157"/>
    <x v="0"/>
    <x v="2"/>
    <n v="62"/>
    <x v="2"/>
    <n v="4"/>
    <n v="500"/>
    <n v="2000"/>
    <n v="30"/>
    <n v="40"/>
  </r>
  <r>
    <n v="158"/>
    <n v="27"/>
    <n v="2"/>
    <n v="2023"/>
    <d v="2023-02-27T00:00:00"/>
    <s v="CUST158"/>
    <x v="1"/>
    <x v="0"/>
    <n v="44"/>
    <x v="2"/>
    <n v="2"/>
    <n v="300"/>
    <n v="600"/>
    <n v="9"/>
    <n v="12"/>
  </r>
  <r>
    <n v="159"/>
    <n v="31"/>
    <n v="5"/>
    <n v="2023"/>
    <d v="2023-05-31T00:00:00"/>
    <s v="CUST159"/>
    <x v="0"/>
    <x v="1"/>
    <n v="26"/>
    <x v="1"/>
    <n v="4"/>
    <n v="50"/>
    <n v="200"/>
    <n v="3"/>
    <n v="4"/>
  </r>
  <r>
    <n v="160"/>
    <n v="11"/>
    <n v="8"/>
    <n v="2023"/>
    <d v="2023-08-11T00:00:00"/>
    <s v="CUST160"/>
    <x v="1"/>
    <x v="0"/>
    <n v="43"/>
    <x v="1"/>
    <n v="2"/>
    <n v="50"/>
    <n v="100"/>
    <n v="1.5"/>
    <n v="2"/>
  </r>
  <r>
    <n v="161"/>
    <n v="22"/>
    <n v="3"/>
    <n v="2023"/>
    <d v="2023-03-22T00:00:00"/>
    <s v="CUST161"/>
    <x v="0"/>
    <x v="2"/>
    <n v="64"/>
    <x v="0"/>
    <n v="2"/>
    <n v="500"/>
    <n v="1000"/>
    <n v="15"/>
    <n v="20"/>
  </r>
  <r>
    <n v="162"/>
    <n v="21"/>
    <n v="8"/>
    <n v="2023"/>
    <d v="2023-08-21T00:00:00"/>
    <s v="CUST162"/>
    <x v="0"/>
    <x v="0"/>
    <n v="39"/>
    <x v="1"/>
    <n v="2"/>
    <n v="30"/>
    <n v="60"/>
    <n v="0.89999999999999991"/>
    <n v="1.2"/>
  </r>
  <r>
    <n v="163"/>
    <n v="2"/>
    <n v="1"/>
    <n v="2023"/>
    <d v="2023-01-02T00:00:00"/>
    <s v="CUST163"/>
    <x v="1"/>
    <x v="2"/>
    <n v="64"/>
    <x v="1"/>
    <n v="3"/>
    <n v="50"/>
    <n v="150"/>
    <n v="2.25"/>
    <n v="3"/>
  </r>
  <r>
    <n v="164"/>
    <n v="15"/>
    <n v="5"/>
    <n v="2023"/>
    <d v="2023-05-15T00:00:00"/>
    <s v="CUST164"/>
    <x v="1"/>
    <x v="0"/>
    <n v="47"/>
    <x v="0"/>
    <n v="3"/>
    <n v="500"/>
    <n v="1500"/>
    <n v="22.5"/>
    <n v="30"/>
  </r>
  <r>
    <n v="165"/>
    <n v="14"/>
    <n v="9"/>
    <n v="2023"/>
    <d v="2023-09-14T00:00:00"/>
    <s v="CUST165"/>
    <x v="1"/>
    <x v="2"/>
    <n v="60"/>
    <x v="1"/>
    <n v="4"/>
    <n v="300"/>
    <n v="1200"/>
    <n v="18"/>
    <n v="24"/>
  </r>
  <r>
    <n v="166"/>
    <n v="2"/>
    <n v="4"/>
    <n v="2023"/>
    <d v="2023-04-02T00:00:00"/>
    <s v="CUST166"/>
    <x v="0"/>
    <x v="0"/>
    <n v="34"/>
    <x v="1"/>
    <n v="4"/>
    <n v="500"/>
    <n v="2000"/>
    <n v="30"/>
    <n v="40"/>
  </r>
  <r>
    <n v="167"/>
    <n v="17"/>
    <n v="9"/>
    <n v="2023"/>
    <d v="2023-09-17T00:00:00"/>
    <s v="CUST167"/>
    <x v="1"/>
    <x v="0"/>
    <n v="43"/>
    <x v="1"/>
    <n v="3"/>
    <n v="50"/>
    <n v="150"/>
    <n v="2.25"/>
    <n v="3"/>
  </r>
  <r>
    <n v="168"/>
    <n v="24"/>
    <n v="2"/>
    <n v="2023"/>
    <d v="2023-02-24T00:00:00"/>
    <s v="CUST168"/>
    <x v="0"/>
    <x v="2"/>
    <n v="53"/>
    <x v="1"/>
    <n v="1"/>
    <n v="300"/>
    <n v="300"/>
    <n v="4.5"/>
    <n v="6"/>
  </r>
  <r>
    <n v="169"/>
    <n v="17"/>
    <n v="11"/>
    <n v="2023"/>
    <d v="2023-11-17T00:00:00"/>
    <s v="CUST169"/>
    <x v="0"/>
    <x v="1"/>
    <n v="18"/>
    <x v="0"/>
    <n v="3"/>
    <n v="500"/>
    <n v="1500"/>
    <n v="22.5"/>
    <n v="30"/>
  </r>
  <r>
    <n v="170"/>
    <n v="2"/>
    <n v="6"/>
    <n v="2023"/>
    <d v="2023-06-02T00:00:00"/>
    <s v="CUST170"/>
    <x v="1"/>
    <x v="1"/>
    <n v="25"/>
    <x v="1"/>
    <n v="2"/>
    <n v="25"/>
    <n v="50"/>
    <n v="0.75"/>
    <n v="1"/>
  </r>
  <r>
    <n v="171"/>
    <n v="24"/>
    <n v="11"/>
    <n v="2023"/>
    <d v="2023-11-24T00:00:00"/>
    <s v="CUST171"/>
    <x v="1"/>
    <x v="2"/>
    <n v="52"/>
    <x v="1"/>
    <n v="3"/>
    <n v="300"/>
    <n v="900"/>
    <n v="13.5"/>
    <n v="18"/>
  </r>
  <r>
    <n v="172"/>
    <n v="17"/>
    <n v="9"/>
    <n v="2023"/>
    <d v="2023-09-17T00:00:00"/>
    <s v="CUST172"/>
    <x v="0"/>
    <x v="0"/>
    <n v="32"/>
    <x v="0"/>
    <n v="2"/>
    <n v="25"/>
    <n v="50"/>
    <n v="0.75"/>
    <n v="1"/>
  </r>
  <r>
    <n v="173"/>
    <n v="8"/>
    <n v="11"/>
    <n v="2023"/>
    <d v="2023-11-08T00:00:00"/>
    <s v="CUST173"/>
    <x v="0"/>
    <x v="2"/>
    <n v="64"/>
    <x v="2"/>
    <n v="4"/>
    <n v="30"/>
    <n v="120"/>
    <n v="1.7999999999999998"/>
    <n v="2.4"/>
  </r>
  <r>
    <n v="174"/>
    <n v="12"/>
    <n v="4"/>
    <n v="2023"/>
    <d v="2023-04-12T00:00:00"/>
    <s v="CUST174"/>
    <x v="1"/>
    <x v="0"/>
    <n v="39"/>
    <x v="0"/>
    <n v="1"/>
    <n v="300"/>
    <n v="300"/>
    <n v="4.5"/>
    <n v="6"/>
  </r>
  <r>
    <n v="175"/>
    <n v="20"/>
    <n v="3"/>
    <n v="2023"/>
    <d v="2023-03-20T00:00:00"/>
    <s v="CUST175"/>
    <x v="1"/>
    <x v="0"/>
    <n v="31"/>
    <x v="2"/>
    <n v="4"/>
    <n v="25"/>
    <n v="100"/>
    <n v="1.5"/>
    <n v="2"/>
  </r>
  <r>
    <n v="176"/>
    <n v="11"/>
    <n v="7"/>
    <n v="2023"/>
    <d v="2023-07-11T00:00:00"/>
    <s v="CUST176"/>
    <x v="1"/>
    <x v="0"/>
    <n v="43"/>
    <x v="0"/>
    <n v="2"/>
    <n v="50"/>
    <n v="100"/>
    <n v="1.5"/>
    <n v="2"/>
  </r>
  <r>
    <n v="177"/>
    <n v="24"/>
    <n v="3"/>
    <n v="2023"/>
    <d v="2023-03-24T00:00:00"/>
    <s v="CUST177"/>
    <x v="0"/>
    <x v="0"/>
    <n v="45"/>
    <x v="0"/>
    <n v="2"/>
    <n v="50"/>
    <n v="100"/>
    <n v="1.5"/>
    <n v="2"/>
  </r>
  <r>
    <n v="178"/>
    <n v="4"/>
    <n v="10"/>
    <n v="2023"/>
    <d v="2023-10-04T00:00:00"/>
    <s v="CUST178"/>
    <x v="0"/>
    <x v="0"/>
    <n v="40"/>
    <x v="1"/>
    <n v="2"/>
    <n v="30"/>
    <n v="60"/>
    <n v="0.89999999999999991"/>
    <n v="1.2"/>
  </r>
  <r>
    <n v="179"/>
    <n v="29"/>
    <n v="9"/>
    <n v="2023"/>
    <d v="2023-09-29T00:00:00"/>
    <s v="CUST179"/>
    <x v="0"/>
    <x v="0"/>
    <n v="31"/>
    <x v="2"/>
    <n v="1"/>
    <n v="300"/>
    <n v="300"/>
    <n v="4.5"/>
    <n v="6"/>
  </r>
  <r>
    <n v="180"/>
    <n v="1"/>
    <n v="1"/>
    <n v="2023"/>
    <d v="2023-01-01T00:00:00"/>
    <s v="CUST180"/>
    <x v="0"/>
    <x v="0"/>
    <n v="41"/>
    <x v="1"/>
    <n v="3"/>
    <n v="300"/>
    <n v="900"/>
    <n v="13.5"/>
    <n v="18"/>
  </r>
  <r>
    <n v="181"/>
    <n v="3"/>
    <n v="11"/>
    <n v="2023"/>
    <d v="2023-11-03T00:00:00"/>
    <s v="CUST181"/>
    <x v="0"/>
    <x v="1"/>
    <n v="19"/>
    <x v="2"/>
    <n v="4"/>
    <n v="300"/>
    <n v="1200"/>
    <n v="18"/>
    <n v="24"/>
  </r>
  <r>
    <n v="182"/>
    <n v="15"/>
    <n v="6"/>
    <n v="2023"/>
    <d v="2023-06-15T00:00:00"/>
    <s v="CUST182"/>
    <x v="0"/>
    <x v="2"/>
    <n v="62"/>
    <x v="0"/>
    <n v="4"/>
    <n v="30"/>
    <n v="120"/>
    <n v="1.7999999999999998"/>
    <n v="2.4"/>
  </r>
  <r>
    <n v="183"/>
    <n v="8"/>
    <n v="9"/>
    <n v="2023"/>
    <d v="2023-09-08T00:00:00"/>
    <s v="CUST183"/>
    <x v="1"/>
    <x v="0"/>
    <n v="43"/>
    <x v="0"/>
    <n v="3"/>
    <n v="300"/>
    <n v="900"/>
    <n v="13.5"/>
    <n v="18"/>
  </r>
  <r>
    <n v="184"/>
    <n v="10"/>
    <n v="1"/>
    <n v="2023"/>
    <d v="2023-01-10T00:00:00"/>
    <s v="CUST184"/>
    <x v="0"/>
    <x v="0"/>
    <n v="31"/>
    <x v="2"/>
    <n v="4"/>
    <n v="50"/>
    <n v="200"/>
    <n v="3"/>
    <n v="4"/>
  </r>
  <r>
    <n v="185"/>
    <n v="27"/>
    <n v="2"/>
    <n v="2023"/>
    <d v="2023-02-27T00:00:00"/>
    <s v="CUST185"/>
    <x v="0"/>
    <x v="1"/>
    <n v="24"/>
    <x v="1"/>
    <n v="1"/>
    <n v="25"/>
    <n v="25"/>
    <n v="0.375"/>
    <n v="0.5"/>
  </r>
  <r>
    <n v="186"/>
    <n v="5"/>
    <n v="7"/>
    <n v="2023"/>
    <d v="2023-07-05T00:00:00"/>
    <s v="CUST186"/>
    <x v="0"/>
    <x v="1"/>
    <n v="20"/>
    <x v="1"/>
    <n v="4"/>
    <n v="50"/>
    <n v="200"/>
    <n v="3"/>
    <n v="4"/>
  </r>
  <r>
    <n v="187"/>
    <n v="7"/>
    <n v="6"/>
    <n v="2023"/>
    <d v="2023-06-07T00:00:00"/>
    <s v="CUST187"/>
    <x v="1"/>
    <x v="2"/>
    <n v="64"/>
    <x v="1"/>
    <n v="2"/>
    <n v="50"/>
    <n v="100"/>
    <n v="1.5"/>
    <n v="2"/>
  </r>
  <r>
    <n v="188"/>
    <n v="3"/>
    <n v="5"/>
    <n v="2023"/>
    <d v="2023-05-03T00:00:00"/>
    <s v="CUST188"/>
    <x v="0"/>
    <x v="0"/>
    <n v="40"/>
    <x v="1"/>
    <n v="3"/>
    <n v="25"/>
    <n v="75"/>
    <n v="1.125"/>
    <n v="1.5"/>
  </r>
  <r>
    <n v="189"/>
    <n v="30"/>
    <n v="1"/>
    <n v="2023"/>
    <d v="2023-01-30T00:00:00"/>
    <s v="CUST189"/>
    <x v="0"/>
    <x v="2"/>
    <n v="63"/>
    <x v="0"/>
    <n v="1"/>
    <n v="50"/>
    <n v="50"/>
    <n v="0.75"/>
    <n v="1"/>
  </r>
  <r>
    <n v="190"/>
    <n v="4"/>
    <n v="5"/>
    <n v="2023"/>
    <d v="2023-05-04T00:00:00"/>
    <s v="CUST190"/>
    <x v="1"/>
    <x v="2"/>
    <n v="60"/>
    <x v="0"/>
    <n v="3"/>
    <n v="30"/>
    <n v="90"/>
    <n v="1.3499999999999999"/>
    <n v="1.8"/>
  </r>
  <r>
    <n v="191"/>
    <n v="18"/>
    <n v="10"/>
    <n v="2023"/>
    <d v="2023-10-18T00:00:00"/>
    <s v="CUST191"/>
    <x v="0"/>
    <x v="2"/>
    <n v="64"/>
    <x v="0"/>
    <n v="1"/>
    <n v="25"/>
    <n v="25"/>
    <n v="0.375"/>
    <n v="0.5"/>
  </r>
  <r>
    <n v="192"/>
    <n v="10"/>
    <n v="2"/>
    <n v="2023"/>
    <d v="2023-02-10T00:00:00"/>
    <s v="CUST192"/>
    <x v="0"/>
    <x v="2"/>
    <n v="62"/>
    <x v="0"/>
    <n v="2"/>
    <n v="50"/>
    <n v="100"/>
    <n v="1.5"/>
    <n v="2"/>
  </r>
  <r>
    <n v="193"/>
    <n v="13"/>
    <n v="2"/>
    <n v="2023"/>
    <d v="2023-02-13T00:00:00"/>
    <s v="CUST193"/>
    <x v="0"/>
    <x v="0"/>
    <n v="35"/>
    <x v="0"/>
    <n v="3"/>
    <n v="500"/>
    <n v="1500"/>
    <n v="22.5"/>
    <n v="30"/>
  </r>
  <r>
    <n v="194"/>
    <n v="6"/>
    <n v="9"/>
    <n v="2023"/>
    <d v="2023-09-06T00:00:00"/>
    <s v="CUST194"/>
    <x v="0"/>
    <x v="2"/>
    <n v="55"/>
    <x v="1"/>
    <n v="4"/>
    <n v="50"/>
    <n v="200"/>
    <n v="3"/>
    <n v="4"/>
  </r>
  <r>
    <n v="195"/>
    <n v="5"/>
    <n v="2"/>
    <n v="2023"/>
    <d v="2023-02-05T00:00:00"/>
    <s v="CUST195"/>
    <x v="0"/>
    <x v="2"/>
    <n v="52"/>
    <x v="1"/>
    <n v="1"/>
    <n v="30"/>
    <n v="30"/>
    <n v="0.44999999999999996"/>
    <n v="0.6"/>
  </r>
  <r>
    <n v="196"/>
    <n v="30"/>
    <n v="9"/>
    <n v="2023"/>
    <d v="2023-09-30T00:00:00"/>
    <s v="CUST196"/>
    <x v="1"/>
    <x v="0"/>
    <n v="32"/>
    <x v="1"/>
    <n v="3"/>
    <n v="300"/>
    <n v="900"/>
    <n v="13.5"/>
    <n v="18"/>
  </r>
  <r>
    <n v="197"/>
    <n v="6"/>
    <n v="3"/>
    <n v="2023"/>
    <d v="2023-03-06T00:00:00"/>
    <s v="CUST197"/>
    <x v="1"/>
    <x v="0"/>
    <n v="42"/>
    <x v="1"/>
    <n v="4"/>
    <n v="50"/>
    <n v="200"/>
    <n v="3"/>
    <n v="4"/>
  </r>
  <r>
    <n v="198"/>
    <n v="7"/>
    <n v="3"/>
    <n v="2023"/>
    <d v="2023-03-07T00:00:00"/>
    <s v="CUST198"/>
    <x v="1"/>
    <x v="2"/>
    <n v="54"/>
    <x v="0"/>
    <n v="3"/>
    <n v="300"/>
    <n v="900"/>
    <n v="13.5"/>
    <n v="18"/>
  </r>
  <r>
    <n v="199"/>
    <n v="4"/>
    <n v="12"/>
    <n v="2023"/>
    <d v="2023-12-04T00:00:00"/>
    <s v="CUST199"/>
    <x v="0"/>
    <x v="0"/>
    <n v="45"/>
    <x v="0"/>
    <n v="3"/>
    <n v="500"/>
    <n v="1500"/>
    <n v="22.5"/>
    <n v="30"/>
  </r>
  <r>
    <n v="200"/>
    <n v="1"/>
    <n v="9"/>
    <n v="2023"/>
    <d v="2023-09-01T00:00:00"/>
    <s v="CUST200"/>
    <x v="0"/>
    <x v="1"/>
    <n v="27"/>
    <x v="0"/>
    <n v="3"/>
    <n v="50"/>
    <n v="150"/>
    <n v="2.25"/>
    <n v="3"/>
  </r>
  <r>
    <n v="201"/>
    <n v="9"/>
    <n v="10"/>
    <n v="2023"/>
    <d v="2023-10-09T00:00:00"/>
    <s v="CUST201"/>
    <x v="0"/>
    <x v="2"/>
    <n v="56"/>
    <x v="2"/>
    <n v="1"/>
    <n v="25"/>
    <n v="25"/>
    <n v="0.375"/>
    <n v="0.5"/>
  </r>
  <r>
    <n v="202"/>
    <n v="26"/>
    <n v="3"/>
    <n v="2023"/>
    <d v="2023-03-26T00:00:00"/>
    <s v="CUST202"/>
    <x v="1"/>
    <x v="0"/>
    <n v="34"/>
    <x v="1"/>
    <n v="4"/>
    <n v="300"/>
    <n v="1200"/>
    <n v="18"/>
    <n v="24"/>
  </r>
  <r>
    <n v="203"/>
    <n v="16"/>
    <n v="5"/>
    <n v="2023"/>
    <d v="2023-05-16T00:00:00"/>
    <s v="CUST203"/>
    <x v="0"/>
    <x v="2"/>
    <n v="56"/>
    <x v="1"/>
    <n v="2"/>
    <n v="500"/>
    <n v="1000"/>
    <n v="15"/>
    <n v="20"/>
  </r>
  <r>
    <n v="204"/>
    <n v="28"/>
    <n v="9"/>
    <n v="2023"/>
    <d v="2023-09-28T00:00:00"/>
    <s v="CUST204"/>
    <x v="0"/>
    <x v="0"/>
    <n v="39"/>
    <x v="0"/>
    <n v="1"/>
    <n v="25"/>
    <n v="25"/>
    <n v="0.375"/>
    <n v="0.5"/>
  </r>
  <r>
    <n v="205"/>
    <n v="7"/>
    <n v="11"/>
    <n v="2023"/>
    <d v="2023-11-07T00:00:00"/>
    <s v="CUST205"/>
    <x v="1"/>
    <x v="0"/>
    <n v="43"/>
    <x v="1"/>
    <n v="1"/>
    <n v="25"/>
    <n v="25"/>
    <n v="0.375"/>
    <n v="0.5"/>
  </r>
  <r>
    <n v="206"/>
    <n v="5"/>
    <n v="8"/>
    <n v="2023"/>
    <d v="2023-08-05T00:00:00"/>
    <s v="CUST206"/>
    <x v="0"/>
    <x v="2"/>
    <n v="61"/>
    <x v="1"/>
    <n v="1"/>
    <n v="25"/>
    <n v="25"/>
    <n v="0.375"/>
    <n v="0.5"/>
  </r>
  <r>
    <n v="207"/>
    <n v="19"/>
    <n v="4"/>
    <n v="2023"/>
    <d v="2023-04-19T00:00:00"/>
    <s v="CUST207"/>
    <x v="1"/>
    <x v="0"/>
    <n v="42"/>
    <x v="0"/>
    <n v="2"/>
    <n v="25"/>
    <n v="50"/>
    <n v="0.75"/>
    <n v="1"/>
  </r>
  <r>
    <n v="208"/>
    <n v="4"/>
    <n v="10"/>
    <n v="2023"/>
    <d v="2023-10-04T00:00:00"/>
    <s v="CUST208"/>
    <x v="1"/>
    <x v="0"/>
    <n v="34"/>
    <x v="2"/>
    <n v="4"/>
    <n v="50"/>
    <n v="200"/>
    <n v="3"/>
    <n v="4"/>
  </r>
  <r>
    <n v="209"/>
    <n v="20"/>
    <n v="12"/>
    <n v="2023"/>
    <d v="2023-12-20T00:00:00"/>
    <s v="CUST209"/>
    <x v="1"/>
    <x v="0"/>
    <n v="30"/>
    <x v="2"/>
    <n v="4"/>
    <n v="50"/>
    <n v="200"/>
    <n v="3"/>
    <n v="4"/>
  </r>
  <r>
    <n v="210"/>
    <n v="13"/>
    <n v="4"/>
    <n v="2023"/>
    <d v="2023-04-13T00:00:00"/>
    <s v="CUST210"/>
    <x v="0"/>
    <x v="0"/>
    <n v="37"/>
    <x v="2"/>
    <n v="4"/>
    <n v="50"/>
    <n v="200"/>
    <n v="3"/>
    <n v="4"/>
  </r>
  <r>
    <n v="211"/>
    <n v="1"/>
    <n v="1"/>
    <n v="2024"/>
    <d v="2024-01-01T00:00:00"/>
    <s v="CUST211"/>
    <x v="0"/>
    <x v="0"/>
    <n v="42"/>
    <x v="0"/>
    <n v="3"/>
    <n v="500"/>
    <n v="1500"/>
    <n v="22.5"/>
    <n v="30"/>
  </r>
  <r>
    <n v="212"/>
    <n v="9"/>
    <n v="6"/>
    <n v="2023"/>
    <d v="2023-06-09T00:00:00"/>
    <s v="CUST212"/>
    <x v="0"/>
    <x v="1"/>
    <n v="21"/>
    <x v="1"/>
    <n v="3"/>
    <n v="500"/>
    <n v="1500"/>
    <n v="22.5"/>
    <n v="30"/>
  </r>
  <r>
    <n v="213"/>
    <n v="24"/>
    <n v="7"/>
    <n v="2023"/>
    <d v="2023-07-24T00:00:00"/>
    <s v="CUST213"/>
    <x v="0"/>
    <x v="1"/>
    <n v="27"/>
    <x v="0"/>
    <n v="3"/>
    <n v="500"/>
    <n v="1500"/>
    <n v="22.5"/>
    <n v="30"/>
  </r>
  <r>
    <n v="214"/>
    <n v="10"/>
    <n v="12"/>
    <n v="2023"/>
    <d v="2023-12-10T00:00:00"/>
    <s v="CUST214"/>
    <x v="0"/>
    <x v="1"/>
    <m/>
    <x v="0"/>
    <n v="2"/>
    <n v="30"/>
    <n v="60"/>
    <n v="0.89999999999999991"/>
    <n v="1.2"/>
  </r>
  <r>
    <n v="215"/>
    <n v="29"/>
    <n v="11"/>
    <n v="2023"/>
    <d v="2023-11-29T00:00:00"/>
    <s v="CUST215"/>
    <x v="0"/>
    <x v="2"/>
    <n v="58"/>
    <x v="1"/>
    <n v="3"/>
    <n v="500"/>
    <n v="1500"/>
    <n v="22.5"/>
    <n v="30"/>
  </r>
  <r>
    <n v="216"/>
    <n v="11"/>
    <n v="7"/>
    <n v="2023"/>
    <d v="2023-07-11T00:00:00"/>
    <s v="CUST216"/>
    <x v="0"/>
    <x v="2"/>
    <n v="62"/>
    <x v="2"/>
    <n v="2"/>
    <n v="50"/>
    <n v="100"/>
    <n v="1.5"/>
    <n v="2"/>
  </r>
  <r>
    <n v="217"/>
    <n v="13"/>
    <n v="8"/>
    <n v="2023"/>
    <d v="2023-08-13T00:00:00"/>
    <s v="CUST217"/>
    <x v="1"/>
    <x v="0"/>
    <n v="35"/>
    <x v="2"/>
    <n v="4"/>
    <n v="50"/>
    <n v="200"/>
    <n v="3"/>
    <n v="4"/>
  </r>
  <r>
    <n v="218"/>
    <n v="22"/>
    <n v="9"/>
    <n v="2023"/>
    <d v="2023-09-22T00:00:00"/>
    <s v="CUST218"/>
    <x v="0"/>
    <x v="2"/>
    <n v="64"/>
    <x v="0"/>
    <n v="3"/>
    <n v="30"/>
    <n v="90"/>
    <n v="1.3499999999999999"/>
    <n v="1.8"/>
  </r>
  <r>
    <n v="219"/>
    <n v="20"/>
    <n v="8"/>
    <n v="2023"/>
    <d v="2023-08-20T00:00:00"/>
    <s v="CUST219"/>
    <x v="1"/>
    <x v="2"/>
    <n v="53"/>
    <x v="2"/>
    <n v="3"/>
    <n v="30"/>
    <n v="90"/>
    <n v="1.3499999999999999"/>
    <n v="1.8"/>
  </r>
  <r>
    <n v="220"/>
    <n v="3"/>
    <n v="3"/>
    <n v="2023"/>
    <d v="2023-03-03T00:00:00"/>
    <s v="CUST220"/>
    <x v="0"/>
    <x v="2"/>
    <n v="64"/>
    <x v="0"/>
    <n v="1"/>
    <n v="500"/>
    <n v="500"/>
    <n v="7.5"/>
    <n v="10"/>
  </r>
  <r>
    <n v="221"/>
    <n v="7"/>
    <n v="5"/>
    <n v="2023"/>
    <d v="2023-05-07T00:00:00"/>
    <s v="CUST221"/>
    <x v="0"/>
    <x v="0"/>
    <n v="39"/>
    <x v="0"/>
    <n v="2"/>
    <n v="300"/>
    <n v="600"/>
    <n v="9"/>
    <n v="12"/>
  </r>
  <r>
    <n v="222"/>
    <n v="26"/>
    <n v="4"/>
    <n v="2023"/>
    <d v="2023-04-26T00:00:00"/>
    <s v="CUST222"/>
    <x v="0"/>
    <x v="2"/>
    <n v="51"/>
    <x v="1"/>
    <n v="4"/>
    <n v="30"/>
    <n v="120"/>
    <n v="1.7999999999999998"/>
    <n v="2.4"/>
  </r>
  <r>
    <n v="223"/>
    <n v="2"/>
    <n v="2"/>
    <n v="2023"/>
    <d v="2023-02-02T00:00:00"/>
    <s v="CUST223"/>
    <x v="1"/>
    <x v="2"/>
    <n v="64"/>
    <x v="1"/>
    <n v="1"/>
    <n v="25"/>
    <n v="25"/>
    <n v="0.375"/>
    <n v="0.5"/>
  </r>
  <r>
    <n v="224"/>
    <n v="23"/>
    <n v="6"/>
    <n v="2023"/>
    <d v="2023-06-23T00:00:00"/>
    <s v="CUST224"/>
    <x v="1"/>
    <x v="1"/>
    <n v="25"/>
    <x v="1"/>
    <n v="1"/>
    <n v="50"/>
    <n v="50"/>
    <n v="0.75"/>
    <n v="1"/>
  </r>
  <r>
    <n v="225"/>
    <n v="11"/>
    <n v="1"/>
    <n v="2023"/>
    <d v="2023-01-11T00:00:00"/>
    <s v="CUST225"/>
    <x v="1"/>
    <x v="2"/>
    <n v="57"/>
    <x v="0"/>
    <n v="4"/>
    <n v="25"/>
    <n v="100"/>
    <n v="1.5"/>
    <n v="2"/>
  </r>
  <r>
    <n v="226"/>
    <n v="29"/>
    <n v="10"/>
    <n v="2023"/>
    <d v="2023-10-29T00:00:00"/>
    <s v="CUST226"/>
    <x v="1"/>
    <x v="2"/>
    <n v="61"/>
    <x v="1"/>
    <n v="1"/>
    <n v="50"/>
    <n v="50"/>
    <n v="0.75"/>
    <n v="1"/>
  </r>
  <r>
    <n v="227"/>
    <n v="11"/>
    <n v="10"/>
    <n v="2023"/>
    <d v="2023-10-11T00:00:00"/>
    <s v="CUST227"/>
    <x v="0"/>
    <x v="0"/>
    <n v="36"/>
    <x v="2"/>
    <n v="2"/>
    <n v="50"/>
    <n v="100"/>
    <n v="1.5"/>
    <n v="2"/>
  </r>
  <r>
    <n v="228"/>
    <n v="28"/>
    <n v="4"/>
    <n v="2023"/>
    <d v="2023-04-28T00:00:00"/>
    <s v="CUST228"/>
    <x v="1"/>
    <x v="2"/>
    <n v="59"/>
    <x v="2"/>
    <n v="2"/>
    <n v="30"/>
    <n v="60"/>
    <n v="0.89999999999999991"/>
    <n v="1.2"/>
  </r>
  <r>
    <n v="229"/>
    <n v="29"/>
    <n v="10"/>
    <n v="2023"/>
    <d v="2023-10-29T00:00:00"/>
    <s v="CUST229"/>
    <x v="0"/>
    <x v="2"/>
    <n v="58"/>
    <x v="0"/>
    <n v="3"/>
    <n v="30"/>
    <n v="90"/>
    <n v="1.3499999999999999"/>
    <n v="1.8"/>
  </r>
  <r>
    <n v="230"/>
    <n v="23"/>
    <n v="4"/>
    <n v="2023"/>
    <d v="2023-04-23T00:00:00"/>
    <s v="CUST230"/>
    <x v="0"/>
    <x v="2"/>
    <n v="54"/>
    <x v="0"/>
    <n v="1"/>
    <n v="25"/>
    <n v="25"/>
    <n v="0.375"/>
    <n v="0.5"/>
  </r>
  <r>
    <n v="231"/>
    <n v="4"/>
    <n v="1"/>
    <n v="2023"/>
    <d v="2023-01-04T00:00:00"/>
    <s v="CUST231"/>
    <x v="1"/>
    <x v="1"/>
    <n v="23"/>
    <x v="1"/>
    <n v="3"/>
    <n v="50"/>
    <n v="150"/>
    <n v="2.25"/>
    <n v="3"/>
  </r>
  <r>
    <n v="232"/>
    <n v="6"/>
    <n v="2"/>
    <n v="2023"/>
    <d v="2023-02-06T00:00:00"/>
    <s v="CUST232"/>
    <x v="1"/>
    <x v="0"/>
    <n v="43"/>
    <x v="0"/>
    <n v="1"/>
    <n v="25"/>
    <n v="25"/>
    <n v="0.375"/>
    <n v="0.5"/>
  </r>
  <r>
    <n v="233"/>
    <n v="29"/>
    <n v="12"/>
    <n v="2023"/>
    <d v="2023-12-29T00:00:00"/>
    <s v="CUST233"/>
    <x v="1"/>
    <x v="2"/>
    <n v="51"/>
    <x v="0"/>
    <n v="2"/>
    <n v="300"/>
    <n v="600"/>
    <n v="9"/>
    <n v="12"/>
  </r>
  <r>
    <n v="234"/>
    <n v="20"/>
    <n v="11"/>
    <n v="2023"/>
    <d v="2023-11-20T00:00:00"/>
    <s v="CUST234"/>
    <x v="1"/>
    <x v="2"/>
    <n v="62"/>
    <x v="2"/>
    <n v="2"/>
    <n v="25"/>
    <n v="50"/>
    <n v="0.75"/>
    <n v="1"/>
  </r>
  <r>
    <n v="235"/>
    <n v="31"/>
    <n v="1"/>
    <n v="2023"/>
    <d v="2023-01-31T00:00:00"/>
    <s v="CUST235"/>
    <x v="1"/>
    <x v="1"/>
    <n v="23"/>
    <x v="2"/>
    <n v="2"/>
    <n v="500"/>
    <n v="1000"/>
    <n v="15"/>
    <n v="20"/>
  </r>
  <r>
    <n v="236"/>
    <n v="28"/>
    <n v="4"/>
    <n v="2023"/>
    <d v="2023-04-28T00:00:00"/>
    <s v="CUST236"/>
    <x v="1"/>
    <x v="2"/>
    <n v="54"/>
    <x v="1"/>
    <n v="1"/>
    <n v="25"/>
    <n v="25"/>
    <n v="0.375"/>
    <n v="0.5"/>
  </r>
  <r>
    <n v="237"/>
    <n v="4"/>
    <n v="2"/>
    <n v="2023"/>
    <d v="2023-02-04T00:00:00"/>
    <s v="CUST237"/>
    <x v="1"/>
    <x v="2"/>
    <n v="50"/>
    <x v="0"/>
    <n v="2"/>
    <n v="500"/>
    <n v="1000"/>
    <n v="15"/>
    <n v="20"/>
  </r>
  <r>
    <n v="238"/>
    <n v="17"/>
    <n v="1"/>
    <n v="2023"/>
    <d v="2023-01-17T00:00:00"/>
    <s v="CUST238"/>
    <x v="1"/>
    <x v="0"/>
    <n v="39"/>
    <x v="0"/>
    <n v="1"/>
    <n v="500"/>
    <n v="500"/>
    <n v="7.5"/>
    <n v="10"/>
  </r>
  <r>
    <n v="239"/>
    <n v="19"/>
    <n v="6"/>
    <n v="2023"/>
    <d v="2023-06-19T00:00:00"/>
    <s v="CUST239"/>
    <x v="0"/>
    <x v="0"/>
    <n v="38"/>
    <x v="2"/>
    <n v="3"/>
    <n v="500"/>
    <n v="1500"/>
    <n v="22.5"/>
    <n v="30"/>
  </r>
  <r>
    <n v="240"/>
    <n v="6"/>
    <n v="2"/>
    <n v="2023"/>
    <d v="2023-02-06T00:00:00"/>
    <s v="CUST240"/>
    <x v="1"/>
    <x v="1"/>
    <n v="23"/>
    <x v="0"/>
    <n v="1"/>
    <n v="300"/>
    <n v="300"/>
    <n v="4.5"/>
    <n v="6"/>
  </r>
  <r>
    <n v="241"/>
    <n v="21"/>
    <n v="9"/>
    <n v="2023"/>
    <d v="2023-09-21T00:00:00"/>
    <s v="CUST241"/>
    <x v="1"/>
    <x v="1"/>
    <n v="23"/>
    <x v="2"/>
    <n v="3"/>
    <n v="25"/>
    <n v="75"/>
    <n v="1.125"/>
    <n v="1.5"/>
  </r>
  <r>
    <n v="242"/>
    <n v="2"/>
    <n v="5"/>
    <n v="2023"/>
    <d v="2023-05-02T00:00:00"/>
    <s v="CUST242"/>
    <x v="0"/>
    <x v="1"/>
    <n v="21"/>
    <x v="1"/>
    <n v="1"/>
    <n v="25"/>
    <n v="25"/>
    <n v="0.375"/>
    <n v="0.5"/>
  </r>
  <r>
    <n v="243"/>
    <n v="23"/>
    <n v="5"/>
    <n v="2023"/>
    <d v="2023-05-23T00:00:00"/>
    <s v="CUST243"/>
    <x v="1"/>
    <x v="0"/>
    <n v="47"/>
    <x v="2"/>
    <n v="3"/>
    <n v="300"/>
    <n v="900"/>
    <n v="13.5"/>
    <n v="18"/>
  </r>
  <r>
    <n v="244"/>
    <n v="9"/>
    <n v="12"/>
    <n v="2023"/>
    <d v="2023-12-09T00:00:00"/>
    <s v="CUST244"/>
    <x v="0"/>
    <x v="1"/>
    <n v="28"/>
    <x v="0"/>
    <n v="2"/>
    <n v="50"/>
    <n v="100"/>
    <n v="1.5"/>
    <n v="2"/>
  </r>
  <r>
    <n v="245"/>
    <n v="6"/>
    <n v="9"/>
    <n v="2023"/>
    <d v="2023-09-06T00:00:00"/>
    <s v="CUST245"/>
    <x v="0"/>
    <x v="0"/>
    <n v="47"/>
    <x v="1"/>
    <n v="3"/>
    <n v="30"/>
    <n v="90"/>
    <n v="1.3499999999999999"/>
    <n v="1.8"/>
  </r>
  <r>
    <n v="246"/>
    <n v="20"/>
    <n v="4"/>
    <n v="2023"/>
    <d v="2023-04-20T00:00:00"/>
    <s v="CUST246"/>
    <x v="1"/>
    <x v="0"/>
    <n v="48"/>
    <x v="2"/>
    <n v="2"/>
    <n v="25"/>
    <n v="50"/>
    <n v="0.75"/>
    <n v="1"/>
  </r>
  <r>
    <n v="247"/>
    <n v="4"/>
    <n v="10"/>
    <n v="2023"/>
    <d v="2023-10-04T00:00:00"/>
    <s v="CUST247"/>
    <x v="0"/>
    <x v="0"/>
    <n v="41"/>
    <x v="2"/>
    <n v="2"/>
    <n v="30"/>
    <n v="60"/>
    <n v="0.89999999999999991"/>
    <n v="1.2"/>
  </r>
  <r>
    <n v="248"/>
    <n v="9"/>
    <n v="3"/>
    <n v="2023"/>
    <d v="2023-03-09T00:00:00"/>
    <s v="CUST248"/>
    <x v="0"/>
    <x v="1"/>
    <n v="26"/>
    <x v="1"/>
    <n v="3"/>
    <n v="300"/>
    <n v="900"/>
    <n v="13.5"/>
    <n v="18"/>
  </r>
  <r>
    <n v="249"/>
    <n v="20"/>
    <n v="10"/>
    <n v="2023"/>
    <d v="2023-10-20T00:00:00"/>
    <s v="CUST249"/>
    <x v="0"/>
    <x v="1"/>
    <n v="20"/>
    <x v="1"/>
    <n v="1"/>
    <n v="50"/>
    <n v="50"/>
    <n v="0.75"/>
    <n v="1"/>
  </r>
  <r>
    <n v="250"/>
    <n v="23"/>
    <n v="10"/>
    <n v="2023"/>
    <d v="2023-10-23T00:00:00"/>
    <s v="CUST250"/>
    <x v="0"/>
    <x v="0"/>
    <n v="48"/>
    <x v="2"/>
    <n v="1"/>
    <n v="50"/>
    <n v="50"/>
    <n v="0.75"/>
    <n v="1"/>
  </r>
  <r>
    <n v="251"/>
    <n v="31"/>
    <n v="8"/>
    <n v="2023"/>
    <d v="2023-08-31T00:00:00"/>
    <s v="CUST251"/>
    <x v="1"/>
    <x v="2"/>
    <n v="57"/>
    <x v="0"/>
    <n v="4"/>
    <n v="50"/>
    <n v="200"/>
    <n v="3"/>
    <n v="4"/>
  </r>
  <r>
    <n v="252"/>
    <n v="5"/>
    <n v="5"/>
    <n v="2023"/>
    <d v="2023-05-05T00:00:00"/>
    <s v="CUST252"/>
    <x v="0"/>
    <x v="2"/>
    <n v="54"/>
    <x v="2"/>
    <n v="1"/>
    <n v="300"/>
    <n v="300"/>
    <n v="4.5"/>
    <n v="6"/>
  </r>
  <r>
    <n v="253"/>
    <n v="31"/>
    <n v="8"/>
    <n v="2023"/>
    <d v="2023-08-31T00:00:00"/>
    <s v="CUST253"/>
    <x v="1"/>
    <x v="2"/>
    <n v="53"/>
    <x v="1"/>
    <n v="4"/>
    <n v="500"/>
    <n v="2000"/>
    <n v="30"/>
    <n v="40"/>
  </r>
  <r>
    <n v="254"/>
    <n v="28"/>
    <n v="7"/>
    <n v="2023"/>
    <d v="2023-07-28T00:00:00"/>
    <s v="CUST254"/>
    <x v="0"/>
    <x v="0"/>
    <n v="41"/>
    <x v="2"/>
    <n v="1"/>
    <n v="500"/>
    <n v="500"/>
    <n v="7.5"/>
    <n v="10"/>
  </r>
  <r>
    <n v="255"/>
    <n v="8"/>
    <n v="4"/>
    <n v="2023"/>
    <d v="2023-04-08T00:00:00"/>
    <s v="CUST255"/>
    <x v="0"/>
    <x v="0"/>
    <n v="48"/>
    <x v="1"/>
    <n v="1"/>
    <n v="30"/>
    <n v="30"/>
    <n v="0.44999999999999996"/>
    <n v="0.6"/>
  </r>
  <r>
    <n v="256"/>
    <n v="18"/>
    <n v="2"/>
    <n v="2023"/>
    <d v="2023-02-18T00:00:00"/>
    <s v="CUST256"/>
    <x v="0"/>
    <x v="1"/>
    <n v="23"/>
    <x v="1"/>
    <n v="2"/>
    <n v="500"/>
    <n v="1000"/>
    <n v="15"/>
    <n v="20"/>
  </r>
  <r>
    <n v="257"/>
    <n v="19"/>
    <n v="2"/>
    <n v="2023"/>
    <d v="2023-02-19T00:00:00"/>
    <s v="CUST257"/>
    <x v="0"/>
    <x v="1"/>
    <n v="19"/>
    <x v="0"/>
    <n v="4"/>
    <n v="500"/>
    <n v="2000"/>
    <n v="30"/>
    <n v="40"/>
  </r>
  <r>
    <n v="258"/>
    <n v="4"/>
    <n v="12"/>
    <n v="2023"/>
    <d v="2023-12-04T00:00:00"/>
    <s v="CUST258"/>
    <x v="1"/>
    <x v="0"/>
    <n v="37"/>
    <x v="1"/>
    <n v="1"/>
    <n v="50"/>
    <n v="50"/>
    <n v="0.75"/>
    <n v="1"/>
  </r>
  <r>
    <n v="259"/>
    <n v="9"/>
    <n v="8"/>
    <n v="2023"/>
    <d v="2023-08-09T00:00:00"/>
    <s v="CUST259"/>
    <x v="1"/>
    <x v="0"/>
    <n v="45"/>
    <x v="1"/>
    <n v="4"/>
    <n v="50"/>
    <n v="200"/>
    <n v="3"/>
    <n v="4"/>
  </r>
  <r>
    <n v="260"/>
    <n v="1"/>
    <n v="7"/>
    <n v="2023"/>
    <d v="2023-07-01T00:00:00"/>
    <s v="CUST260"/>
    <x v="0"/>
    <x v="1"/>
    <n v="28"/>
    <x v="0"/>
    <n v="2"/>
    <n v="30"/>
    <n v="60"/>
    <n v="0.89999999999999991"/>
    <n v="1.2"/>
  </r>
  <r>
    <n v="261"/>
    <n v="5"/>
    <n v="8"/>
    <n v="2023"/>
    <d v="2023-08-05T00:00:00"/>
    <s v="CUST261"/>
    <x v="0"/>
    <x v="1"/>
    <n v="21"/>
    <x v="1"/>
    <n v="2"/>
    <n v="25"/>
    <n v="50"/>
    <n v="0.75"/>
    <n v="1"/>
  </r>
  <r>
    <n v="262"/>
    <n v="30"/>
    <n v="7"/>
    <n v="2023"/>
    <d v="2023-07-30T00:00:00"/>
    <s v="CUST262"/>
    <x v="1"/>
    <x v="0"/>
    <n v="32"/>
    <x v="0"/>
    <n v="4"/>
    <n v="30"/>
    <n v="120"/>
    <n v="1.7999999999999998"/>
    <n v="2.4"/>
  </r>
  <r>
    <n v="263"/>
    <n v="28"/>
    <n v="8"/>
    <n v="2023"/>
    <d v="2023-08-28T00:00:00"/>
    <s v="CUST263"/>
    <x v="0"/>
    <x v="1"/>
    <n v="23"/>
    <x v="0"/>
    <n v="2"/>
    <n v="30"/>
    <n v="60"/>
    <n v="0.89999999999999991"/>
    <n v="1.2"/>
  </r>
  <r>
    <n v="264"/>
    <n v="28"/>
    <n v="1"/>
    <n v="2023"/>
    <d v="2023-01-28T00:00:00"/>
    <s v="CUST264"/>
    <x v="0"/>
    <x v="0"/>
    <n v="47"/>
    <x v="1"/>
    <n v="3"/>
    <n v="300"/>
    <n v="900"/>
    <n v="13.5"/>
    <n v="18"/>
  </r>
  <r>
    <n v="265"/>
    <n v="11"/>
    <n v="12"/>
    <n v="2023"/>
    <d v="2023-12-11T00:00:00"/>
    <s v="CUST265"/>
    <x v="0"/>
    <x v="2"/>
    <n v="55"/>
    <x v="1"/>
    <n v="3"/>
    <n v="300"/>
    <n v="900"/>
    <n v="13.5"/>
    <n v="18"/>
  </r>
  <r>
    <n v="266"/>
    <n v="1"/>
    <n v="12"/>
    <n v="2023"/>
    <d v="2023-12-01T00:00:00"/>
    <s v="CUST266"/>
    <x v="1"/>
    <x v="1"/>
    <n v="19"/>
    <x v="2"/>
    <n v="2"/>
    <n v="30"/>
    <n v="60"/>
    <n v="0.89999999999999991"/>
    <n v="1.2"/>
  </r>
  <r>
    <n v="267"/>
    <n v="27"/>
    <n v="11"/>
    <n v="2023"/>
    <d v="2023-11-27T00:00:00"/>
    <s v="CUST267"/>
    <x v="1"/>
    <x v="0"/>
    <n v="32"/>
    <x v="0"/>
    <n v="3"/>
    <n v="30"/>
    <n v="90"/>
    <n v="1.3499999999999999"/>
    <n v="1.8"/>
  </r>
  <r>
    <n v="268"/>
    <n v="20"/>
    <n v="2"/>
    <n v="2023"/>
    <d v="2023-02-20T00:00:00"/>
    <s v="CUST268"/>
    <x v="1"/>
    <x v="1"/>
    <n v="28"/>
    <x v="2"/>
    <n v="1"/>
    <n v="30"/>
    <n v="30"/>
    <n v="0.44999999999999996"/>
    <n v="0.6"/>
  </r>
  <r>
    <n v="269"/>
    <n v="1"/>
    <n v="2"/>
    <n v="2023"/>
    <d v="2023-02-01T00:00:00"/>
    <s v="CUST269"/>
    <x v="0"/>
    <x v="1"/>
    <n v="25"/>
    <x v="1"/>
    <n v="4"/>
    <n v="500"/>
    <n v="2000"/>
    <n v="30"/>
    <n v="40"/>
  </r>
  <r>
    <n v="270"/>
    <n v="26"/>
    <n v="7"/>
    <n v="2023"/>
    <d v="2023-07-26T00:00:00"/>
    <s v="CUST270"/>
    <x v="0"/>
    <x v="0"/>
    <n v="43"/>
    <x v="2"/>
    <n v="1"/>
    <n v="300"/>
    <n v="300"/>
    <n v="4.5"/>
    <n v="6"/>
  </r>
  <r>
    <n v="271"/>
    <n v="23"/>
    <n v="6"/>
    <n v="2023"/>
    <d v="2023-06-23T00:00:00"/>
    <s v="CUST271"/>
    <x v="1"/>
    <x v="2"/>
    <n v="62"/>
    <x v="0"/>
    <n v="4"/>
    <n v="30"/>
    <n v="120"/>
    <n v="1.7999999999999998"/>
    <n v="2.4"/>
  </r>
  <r>
    <n v="272"/>
    <n v="25"/>
    <n v="2"/>
    <n v="2023"/>
    <d v="2023-02-25T00:00:00"/>
    <s v="CUST272"/>
    <x v="1"/>
    <x v="2"/>
    <n v="61"/>
    <x v="2"/>
    <n v="2"/>
    <n v="50"/>
    <n v="100"/>
    <n v="1.5"/>
    <n v="2"/>
  </r>
  <r>
    <n v="273"/>
    <n v="8"/>
    <n v="5"/>
    <n v="2023"/>
    <d v="2023-05-08T00:00:00"/>
    <s v="CUST273"/>
    <x v="1"/>
    <x v="1"/>
    <n v="22"/>
    <x v="0"/>
    <n v="1"/>
    <n v="50"/>
    <n v="50"/>
    <n v="0.75"/>
    <n v="1"/>
  </r>
  <r>
    <n v="274"/>
    <n v="9"/>
    <n v="4"/>
    <n v="2023"/>
    <d v="2023-04-09T00:00:00"/>
    <s v="CUST274"/>
    <x v="1"/>
    <x v="1"/>
    <n v="23"/>
    <x v="1"/>
    <n v="2"/>
    <n v="500"/>
    <n v="1000"/>
    <n v="15"/>
    <n v="20"/>
  </r>
  <r>
    <n v="275"/>
    <n v="8"/>
    <n v="4"/>
    <n v="2023"/>
    <d v="2023-04-08T00:00:00"/>
    <s v="CUST275"/>
    <x v="0"/>
    <x v="0"/>
    <n v="43"/>
    <x v="1"/>
    <n v="2"/>
    <n v="500"/>
    <n v="1000"/>
    <n v="15"/>
    <n v="20"/>
  </r>
  <r>
    <n v="276"/>
    <n v="2"/>
    <n v="10"/>
    <n v="2023"/>
    <d v="2023-10-02T00:00:00"/>
    <s v="CUST276"/>
    <x v="1"/>
    <x v="1"/>
    <n v="21"/>
    <x v="0"/>
    <n v="4"/>
    <n v="25"/>
    <n v="100"/>
    <n v="1.5"/>
    <n v="2"/>
  </r>
  <r>
    <n v="277"/>
    <n v="18"/>
    <n v="8"/>
    <n v="2023"/>
    <d v="2023-08-18T00:00:00"/>
    <s v="CUST277"/>
    <x v="0"/>
    <x v="0"/>
    <n v="36"/>
    <x v="1"/>
    <n v="4"/>
    <n v="25"/>
    <n v="100"/>
    <n v="1.5"/>
    <n v="2"/>
  </r>
  <r>
    <n v="278"/>
    <n v="13"/>
    <n v="3"/>
    <n v="2023"/>
    <d v="2023-03-13T00:00:00"/>
    <s v="CUST278"/>
    <x v="1"/>
    <x v="0"/>
    <n v="37"/>
    <x v="1"/>
    <n v="4"/>
    <n v="25"/>
    <n v="100"/>
    <n v="1.5"/>
    <n v="2"/>
  </r>
  <r>
    <n v="279"/>
    <n v="5"/>
    <n v="8"/>
    <n v="2023"/>
    <d v="2023-08-05T00:00:00"/>
    <s v="CUST279"/>
    <x v="0"/>
    <x v="2"/>
    <n v="50"/>
    <x v="1"/>
    <n v="1"/>
    <n v="500"/>
    <n v="500"/>
    <n v="7.5"/>
    <n v="10"/>
  </r>
  <r>
    <n v="280"/>
    <n v="4"/>
    <n v="4"/>
    <n v="2023"/>
    <d v="2023-04-04T00:00:00"/>
    <s v="CUST280"/>
    <x v="1"/>
    <x v="0"/>
    <n v="37"/>
    <x v="1"/>
    <n v="3"/>
    <n v="500"/>
    <n v="1500"/>
    <n v="22.5"/>
    <n v="30"/>
  </r>
  <r>
    <n v="281"/>
    <n v="23"/>
    <n v="5"/>
    <n v="2023"/>
    <d v="2023-05-23T00:00:00"/>
    <s v="CUST281"/>
    <x v="1"/>
    <x v="1"/>
    <n v="29"/>
    <x v="0"/>
    <n v="4"/>
    <n v="500"/>
    <n v="2000"/>
    <n v="30"/>
    <n v="40"/>
  </r>
  <r>
    <n v="282"/>
    <n v="25"/>
    <n v="8"/>
    <n v="2023"/>
    <d v="2023-08-25T00:00:00"/>
    <s v="CUST282"/>
    <x v="1"/>
    <x v="2"/>
    <n v="64"/>
    <x v="2"/>
    <n v="4"/>
    <n v="50"/>
    <n v="200"/>
    <n v="3"/>
    <n v="4"/>
  </r>
  <r>
    <n v="283"/>
    <n v="8"/>
    <n v="5"/>
    <n v="2023"/>
    <d v="2023-05-08T00:00:00"/>
    <s v="CUST283"/>
    <x v="1"/>
    <x v="1"/>
    <n v="18"/>
    <x v="2"/>
    <n v="1"/>
    <n v="500"/>
    <n v="500"/>
    <n v="7.5"/>
    <n v="10"/>
  </r>
  <r>
    <n v="284"/>
    <n v="8"/>
    <n v="2"/>
    <n v="2023"/>
    <d v="2023-02-08T00:00:00"/>
    <s v="CUST284"/>
    <x v="0"/>
    <x v="0"/>
    <n v="43"/>
    <x v="1"/>
    <n v="4"/>
    <n v="50"/>
    <n v="200"/>
    <n v="3"/>
    <n v="4"/>
  </r>
  <r>
    <n v="285"/>
    <n v="15"/>
    <n v="8"/>
    <n v="2023"/>
    <d v="2023-08-15T00:00:00"/>
    <s v="CUST285"/>
    <x v="1"/>
    <x v="0"/>
    <n v="31"/>
    <x v="2"/>
    <n v="1"/>
    <n v="25"/>
    <n v="25"/>
    <n v="0.375"/>
    <n v="0.5"/>
  </r>
  <r>
    <n v="286"/>
    <n v="9"/>
    <n v="10"/>
    <n v="2023"/>
    <d v="2023-10-09T00:00:00"/>
    <s v="CUST286"/>
    <x v="0"/>
    <x v="2"/>
    <n v="55"/>
    <x v="2"/>
    <n v="2"/>
    <n v="25"/>
    <n v="50"/>
    <n v="0.75"/>
    <n v="1"/>
  </r>
  <r>
    <n v="287"/>
    <n v="20"/>
    <n v="2"/>
    <n v="2023"/>
    <d v="2023-02-20T00:00:00"/>
    <s v="CUST287"/>
    <x v="0"/>
    <x v="2"/>
    <n v="54"/>
    <x v="1"/>
    <n v="4"/>
    <n v="25"/>
    <n v="100"/>
    <n v="1.5"/>
    <n v="2"/>
  </r>
  <r>
    <n v="288"/>
    <n v="26"/>
    <n v="1"/>
    <n v="2023"/>
    <d v="2023-01-26T00:00:00"/>
    <s v="CUST288"/>
    <x v="0"/>
    <x v="1"/>
    <n v="28"/>
    <x v="1"/>
    <n v="4"/>
    <n v="30"/>
    <n v="120"/>
    <n v="1.7999999999999998"/>
    <n v="2.4"/>
  </r>
  <r>
    <n v="289"/>
    <n v="30"/>
    <n v="11"/>
    <n v="2023"/>
    <d v="2023-11-30T00:00:00"/>
    <s v="CUST289"/>
    <x v="0"/>
    <x v="2"/>
    <n v="53"/>
    <x v="2"/>
    <n v="2"/>
    <n v="30"/>
    <n v="60"/>
    <n v="0.89999999999999991"/>
    <n v="1.2"/>
  </r>
  <r>
    <n v="290"/>
    <n v="4"/>
    <n v="10"/>
    <n v="2023"/>
    <d v="2023-10-04T00:00:00"/>
    <s v="CUST290"/>
    <x v="1"/>
    <x v="0"/>
    <n v="30"/>
    <x v="0"/>
    <n v="2"/>
    <n v="300"/>
    <n v="600"/>
    <n v="9"/>
    <n v="12"/>
  </r>
  <r>
    <n v="291"/>
    <n v="8"/>
    <n v="1"/>
    <n v="2023"/>
    <d v="2023-01-08T00:00:00"/>
    <s v="CUST291"/>
    <x v="0"/>
    <x v="2"/>
    <n v="60"/>
    <x v="1"/>
    <n v="2"/>
    <n v="300"/>
    <n v="600"/>
    <n v="9"/>
    <n v="12"/>
  </r>
  <r>
    <n v="292"/>
    <n v="17"/>
    <n v="2"/>
    <n v="2023"/>
    <d v="2023-02-17T00:00:00"/>
    <s v="CUST292"/>
    <x v="0"/>
    <x v="1"/>
    <n v="20"/>
    <x v="0"/>
    <n v="4"/>
    <n v="300"/>
    <n v="1200"/>
    <n v="18"/>
    <n v="24"/>
  </r>
  <r>
    <n v="293"/>
    <n v="2"/>
    <n v="5"/>
    <n v="2023"/>
    <d v="2023-05-02T00:00:00"/>
    <s v="CUST293"/>
    <x v="0"/>
    <x v="2"/>
    <n v="50"/>
    <x v="2"/>
    <n v="3"/>
    <n v="30"/>
    <n v="90"/>
    <n v="1.3499999999999999"/>
    <n v="1.8"/>
  </r>
  <r>
    <n v="294"/>
    <n v="27"/>
    <n v="3"/>
    <n v="2023"/>
    <d v="2023-03-27T00:00:00"/>
    <s v="CUST294"/>
    <x v="1"/>
    <x v="1"/>
    <n v="23"/>
    <x v="1"/>
    <n v="3"/>
    <n v="30"/>
    <n v="90"/>
    <n v="1.3499999999999999"/>
    <n v="1.8"/>
  </r>
  <r>
    <n v="295"/>
    <n v="28"/>
    <n v="7"/>
    <n v="2023"/>
    <d v="2023-07-28T00:00:00"/>
    <s v="CUST295"/>
    <x v="1"/>
    <x v="1"/>
    <n v="27"/>
    <x v="0"/>
    <n v="3"/>
    <n v="300"/>
    <n v="900"/>
    <n v="13.5"/>
    <n v="18"/>
  </r>
  <r>
    <n v="296"/>
    <n v="6"/>
    <n v="9"/>
    <n v="2023"/>
    <d v="2023-09-06T00:00:00"/>
    <s v="CUST296"/>
    <x v="1"/>
    <x v="1"/>
    <n v="22"/>
    <x v="1"/>
    <n v="4"/>
    <n v="300"/>
    <n v="1200"/>
    <n v="18"/>
    <n v="24"/>
  </r>
  <r>
    <n v="297"/>
    <n v="4"/>
    <n v="9"/>
    <n v="2023"/>
    <d v="2023-09-04T00:00:00"/>
    <s v="CUST297"/>
    <x v="1"/>
    <x v="0"/>
    <n v="40"/>
    <x v="2"/>
    <n v="2"/>
    <n v="500"/>
    <n v="1000"/>
    <n v="15"/>
    <n v="20"/>
  </r>
  <r>
    <n v="298"/>
    <n v="20"/>
    <n v="4"/>
    <n v="2023"/>
    <d v="2023-04-20T00:00:00"/>
    <s v="CUST298"/>
    <x v="0"/>
    <x v="1"/>
    <n v="27"/>
    <x v="0"/>
    <n v="4"/>
    <n v="300"/>
    <n v="1200"/>
    <n v="18"/>
    <n v="24"/>
  </r>
  <r>
    <n v="299"/>
    <n v="25"/>
    <n v="7"/>
    <n v="2023"/>
    <d v="2023-07-25T00:00:00"/>
    <s v="CUST299"/>
    <x v="0"/>
    <x v="2"/>
    <n v="61"/>
    <x v="2"/>
    <n v="2"/>
    <n v="500"/>
    <n v="1000"/>
    <n v="15"/>
    <n v="20"/>
  </r>
  <r>
    <n v="300"/>
    <n v="31"/>
    <n v="1"/>
    <n v="2023"/>
    <d v="2023-01-31T00:00:00"/>
    <s v="CUST300"/>
    <x v="1"/>
    <x v="1"/>
    <n v="19"/>
    <x v="2"/>
    <n v="4"/>
    <n v="50"/>
    <n v="200"/>
    <n v="3"/>
    <n v="4"/>
  </r>
  <r>
    <n v="301"/>
    <n v="26"/>
    <n v="3"/>
    <n v="2023"/>
    <d v="2023-03-26T00:00:00"/>
    <s v="CUST301"/>
    <x v="0"/>
    <x v="0"/>
    <n v="30"/>
    <x v="1"/>
    <n v="4"/>
    <n v="30"/>
    <n v="120"/>
    <n v="1.7999999999999998"/>
    <n v="2.4"/>
  </r>
  <r>
    <n v="302"/>
    <n v="14"/>
    <n v="7"/>
    <n v="2023"/>
    <d v="2023-07-14T00:00:00"/>
    <s v="CUST302"/>
    <x v="0"/>
    <x v="2"/>
    <n v="57"/>
    <x v="0"/>
    <n v="2"/>
    <n v="300"/>
    <n v="600"/>
    <n v="9"/>
    <n v="12"/>
  </r>
  <r>
    <n v="303"/>
    <n v="2"/>
    <n v="1"/>
    <n v="2023"/>
    <d v="2023-01-02T00:00:00"/>
    <s v="CUST303"/>
    <x v="0"/>
    <x v="1"/>
    <n v="19"/>
    <x v="2"/>
    <n v="3"/>
    <n v="30"/>
    <n v="90"/>
    <n v="1.3499999999999999"/>
    <n v="1.8"/>
  </r>
  <r>
    <n v="304"/>
    <n v="19"/>
    <n v="7"/>
    <n v="2023"/>
    <d v="2023-07-19T00:00:00"/>
    <s v="CUST304"/>
    <x v="1"/>
    <x v="0"/>
    <n v="37"/>
    <x v="2"/>
    <n v="2"/>
    <n v="30"/>
    <n v="60"/>
    <n v="0.89999999999999991"/>
    <n v="1.2"/>
  </r>
  <r>
    <n v="305"/>
    <n v="16"/>
    <n v="5"/>
    <n v="2023"/>
    <d v="2023-05-16T00:00:00"/>
    <s v="CUST305"/>
    <x v="1"/>
    <x v="1"/>
    <n v="18"/>
    <x v="0"/>
    <n v="1"/>
    <n v="30"/>
    <n v="30"/>
    <n v="0.44999999999999996"/>
    <n v="0.6"/>
  </r>
  <r>
    <n v="306"/>
    <n v="21"/>
    <n v="8"/>
    <n v="2023"/>
    <d v="2023-08-21T00:00:00"/>
    <s v="CUST306"/>
    <x v="0"/>
    <x v="2"/>
    <n v="54"/>
    <x v="2"/>
    <n v="1"/>
    <n v="50"/>
    <n v="50"/>
    <n v="0.75"/>
    <n v="1"/>
  </r>
  <r>
    <n v="307"/>
    <n v="27"/>
    <n v="5"/>
    <n v="2023"/>
    <d v="2023-05-27T00:00:00"/>
    <s v="CUST307"/>
    <x v="1"/>
    <x v="1"/>
    <n v="26"/>
    <x v="2"/>
    <n v="2"/>
    <n v="25"/>
    <n v="50"/>
    <n v="0.75"/>
    <n v="1"/>
  </r>
  <r>
    <n v="308"/>
    <n v="5"/>
    <n v="8"/>
    <n v="2023"/>
    <d v="2023-08-05T00:00:00"/>
    <s v="CUST308"/>
    <x v="1"/>
    <x v="0"/>
    <n v="34"/>
    <x v="0"/>
    <n v="4"/>
    <n v="300"/>
    <n v="1200"/>
    <n v="18"/>
    <n v="24"/>
  </r>
  <r>
    <n v="309"/>
    <n v="23"/>
    <n v="12"/>
    <n v="2023"/>
    <d v="2023-12-23T00:00:00"/>
    <s v="CUST309"/>
    <x v="1"/>
    <x v="1"/>
    <n v="26"/>
    <x v="0"/>
    <n v="1"/>
    <n v="25"/>
    <n v="25"/>
    <n v="0.375"/>
    <n v="0.5"/>
  </r>
  <r>
    <n v="310"/>
    <n v="12"/>
    <n v="10"/>
    <n v="2023"/>
    <d v="2023-10-12T00:00:00"/>
    <s v="CUST310"/>
    <x v="1"/>
    <x v="1"/>
    <n v="28"/>
    <x v="0"/>
    <n v="1"/>
    <n v="25"/>
    <n v="25"/>
    <n v="0.375"/>
    <n v="0.5"/>
  </r>
  <r>
    <n v="311"/>
    <n v="5"/>
    <n v="12"/>
    <n v="2023"/>
    <d v="2023-12-05T00:00:00"/>
    <s v="CUST311"/>
    <x v="1"/>
    <x v="0"/>
    <n v="32"/>
    <x v="0"/>
    <n v="4"/>
    <n v="25"/>
    <n v="100"/>
    <n v="1.5"/>
    <n v="2"/>
  </r>
  <r>
    <n v="312"/>
    <n v="7"/>
    <n v="9"/>
    <n v="2023"/>
    <d v="2023-09-07T00:00:00"/>
    <s v="CUST312"/>
    <x v="0"/>
    <x v="0"/>
    <n v="41"/>
    <x v="1"/>
    <n v="4"/>
    <n v="30"/>
    <n v="120"/>
    <n v="1.7999999999999998"/>
    <n v="2.4"/>
  </r>
  <r>
    <n v="313"/>
    <n v="21"/>
    <n v="3"/>
    <n v="2023"/>
    <d v="2023-03-21T00:00:00"/>
    <s v="CUST313"/>
    <x v="1"/>
    <x v="2"/>
    <n v="55"/>
    <x v="0"/>
    <n v="3"/>
    <n v="500"/>
    <n v="1500"/>
    <n v="22.5"/>
    <n v="30"/>
  </r>
  <r>
    <n v="314"/>
    <n v="8"/>
    <n v="4"/>
    <n v="2023"/>
    <d v="2023-04-08T00:00:00"/>
    <s v="CUST314"/>
    <x v="0"/>
    <x v="2"/>
    <n v="52"/>
    <x v="1"/>
    <n v="4"/>
    <n v="30"/>
    <n v="120"/>
    <n v="1.7999999999999998"/>
    <n v="2.4"/>
  </r>
  <r>
    <n v="315"/>
    <n v="1"/>
    <n v="6"/>
    <n v="2023"/>
    <d v="2023-06-01T00:00:00"/>
    <s v="CUST315"/>
    <x v="0"/>
    <x v="0"/>
    <n v="47"/>
    <x v="1"/>
    <n v="2"/>
    <n v="30"/>
    <n v="60"/>
    <n v="0.89999999999999991"/>
    <n v="1.2"/>
  </r>
  <r>
    <n v="316"/>
    <n v="22"/>
    <n v="4"/>
    <n v="2023"/>
    <d v="2023-04-22T00:00:00"/>
    <s v="CUST316"/>
    <x v="1"/>
    <x v="0"/>
    <n v="48"/>
    <x v="1"/>
    <n v="2"/>
    <n v="25"/>
    <n v="50"/>
    <n v="0.75"/>
    <n v="1"/>
  </r>
  <r>
    <n v="317"/>
    <n v="30"/>
    <n v="1"/>
    <n v="2023"/>
    <d v="2023-01-30T00:00:00"/>
    <s v="CUST317"/>
    <x v="0"/>
    <x v="1"/>
    <n v="22"/>
    <x v="2"/>
    <n v="3"/>
    <n v="30"/>
    <n v="90"/>
    <n v="1.3499999999999999"/>
    <n v="1.8"/>
  </r>
  <r>
    <n v="318"/>
    <n v="24"/>
    <n v="10"/>
    <n v="2023"/>
    <d v="2023-10-24T00:00:00"/>
    <s v="CUST318"/>
    <x v="0"/>
    <x v="2"/>
    <n v="61"/>
    <x v="1"/>
    <n v="1"/>
    <n v="25"/>
    <n v="25"/>
    <n v="0.375"/>
    <n v="0.5"/>
  </r>
  <r>
    <n v="319"/>
    <n v="5"/>
    <n v="10"/>
    <n v="2023"/>
    <d v="2023-10-05T00:00:00"/>
    <s v="CUST319"/>
    <x v="0"/>
    <x v="0"/>
    <n v="31"/>
    <x v="1"/>
    <n v="1"/>
    <n v="500"/>
    <n v="500"/>
    <n v="7.5"/>
    <n v="10"/>
  </r>
  <r>
    <n v="320"/>
    <n v="1"/>
    <n v="2"/>
    <n v="2023"/>
    <d v="2023-02-01T00:00:00"/>
    <s v="CUST320"/>
    <x v="1"/>
    <x v="1"/>
    <n v="28"/>
    <x v="2"/>
    <n v="4"/>
    <n v="300"/>
    <n v="1200"/>
    <n v="18"/>
    <n v="24"/>
  </r>
  <r>
    <n v="321"/>
    <n v="10"/>
    <n v="6"/>
    <n v="2023"/>
    <d v="2023-06-10T00:00:00"/>
    <s v="CUST321"/>
    <x v="1"/>
    <x v="1"/>
    <n v="26"/>
    <x v="2"/>
    <n v="2"/>
    <n v="25"/>
    <n v="50"/>
    <n v="0.75"/>
    <n v="1"/>
  </r>
  <r>
    <n v="322"/>
    <n v="30"/>
    <n v="1"/>
    <n v="2023"/>
    <d v="2023-01-30T00:00:00"/>
    <s v="CUST322"/>
    <x v="0"/>
    <x v="2"/>
    <n v="51"/>
    <x v="2"/>
    <n v="1"/>
    <n v="500"/>
    <n v="500"/>
    <n v="7.5"/>
    <n v="10"/>
  </r>
  <r>
    <n v="323"/>
    <n v="26"/>
    <n v="1"/>
    <n v="2023"/>
    <d v="2023-01-26T00:00:00"/>
    <s v="CUST323"/>
    <x v="1"/>
    <x v="1"/>
    <n v="29"/>
    <x v="0"/>
    <n v="3"/>
    <n v="300"/>
    <n v="900"/>
    <n v="13.5"/>
    <n v="18"/>
  </r>
  <r>
    <n v="324"/>
    <n v="27"/>
    <n v="10"/>
    <n v="2023"/>
    <d v="2023-10-27T00:00:00"/>
    <s v="CUST324"/>
    <x v="1"/>
    <x v="2"/>
    <n v="52"/>
    <x v="2"/>
    <n v="3"/>
    <n v="50"/>
    <n v="150"/>
    <n v="2.25"/>
    <n v="3"/>
  </r>
  <r>
    <n v="325"/>
    <n v="2"/>
    <n v="9"/>
    <n v="2023"/>
    <d v="2023-09-02T00:00:00"/>
    <s v="CUST325"/>
    <x v="1"/>
    <x v="2"/>
    <n v="52"/>
    <x v="2"/>
    <n v="2"/>
    <n v="25"/>
    <n v="50"/>
    <n v="0.75"/>
    <n v="1"/>
  </r>
  <r>
    <n v="326"/>
    <n v="15"/>
    <n v="9"/>
    <n v="2023"/>
    <d v="2023-09-15T00:00:00"/>
    <s v="CUST326"/>
    <x v="1"/>
    <x v="1"/>
    <n v="18"/>
    <x v="1"/>
    <n v="3"/>
    <n v="25"/>
    <n v="75"/>
    <n v="1.125"/>
    <n v="1.5"/>
  </r>
  <r>
    <n v="327"/>
    <n v="29"/>
    <n v="9"/>
    <n v="2023"/>
    <d v="2023-09-29T00:00:00"/>
    <s v="CUST327"/>
    <x v="0"/>
    <x v="2"/>
    <n v="57"/>
    <x v="2"/>
    <n v="3"/>
    <n v="50"/>
    <n v="150"/>
    <n v="2.25"/>
    <n v="3"/>
  </r>
  <r>
    <n v="328"/>
    <n v="22"/>
    <n v="3"/>
    <n v="2023"/>
    <d v="2023-03-22T00:00:00"/>
    <s v="CUST328"/>
    <x v="0"/>
    <x v="0"/>
    <n v="39"/>
    <x v="0"/>
    <n v="2"/>
    <n v="50"/>
    <n v="100"/>
    <n v="1.5"/>
    <n v="2"/>
  </r>
  <r>
    <n v="329"/>
    <n v="30"/>
    <n v="1"/>
    <n v="2023"/>
    <d v="2023-01-30T00:00:00"/>
    <s v="CUST329"/>
    <x v="1"/>
    <x v="0"/>
    <n v="46"/>
    <x v="2"/>
    <n v="4"/>
    <n v="25"/>
    <n v="100"/>
    <n v="1.5"/>
    <n v="2"/>
  </r>
  <r>
    <n v="330"/>
    <n v="18"/>
    <n v="9"/>
    <n v="2023"/>
    <d v="2023-09-18T00:00:00"/>
    <s v="CUST330"/>
    <x v="1"/>
    <x v="1"/>
    <n v="25"/>
    <x v="0"/>
    <n v="4"/>
    <n v="50"/>
    <n v="200"/>
    <n v="3"/>
    <n v="4"/>
  </r>
  <r>
    <n v="331"/>
    <n v="11"/>
    <n v="2"/>
    <n v="2023"/>
    <d v="2023-02-11T00:00:00"/>
    <s v="CUST331"/>
    <x v="0"/>
    <x v="1"/>
    <n v="28"/>
    <x v="2"/>
    <n v="3"/>
    <n v="30"/>
    <n v="90"/>
    <n v="1.3499999999999999"/>
    <n v="1.8"/>
  </r>
  <r>
    <n v="332"/>
    <n v="6"/>
    <n v="4"/>
    <n v="2023"/>
    <d v="2023-04-06T00:00:00"/>
    <s v="CUST332"/>
    <x v="0"/>
    <x v="2"/>
    <n v="58"/>
    <x v="2"/>
    <n v="4"/>
    <n v="300"/>
    <n v="1200"/>
    <n v="18"/>
    <n v="24"/>
  </r>
  <r>
    <n v="333"/>
    <n v="5"/>
    <n v="2"/>
    <n v="2023"/>
    <d v="2023-02-05T00:00:00"/>
    <s v="CUST333"/>
    <x v="1"/>
    <x v="2"/>
    <n v="54"/>
    <x v="2"/>
    <n v="4"/>
    <n v="300"/>
    <n v="1200"/>
    <n v="18"/>
    <n v="24"/>
  </r>
  <r>
    <n v="334"/>
    <n v="1"/>
    <n v="11"/>
    <n v="2023"/>
    <d v="2023-11-01T00:00:00"/>
    <s v="CUST334"/>
    <x v="0"/>
    <x v="0"/>
    <n v="31"/>
    <x v="2"/>
    <n v="3"/>
    <n v="300"/>
    <n v="900"/>
    <n v="13.5"/>
    <n v="18"/>
  </r>
  <r>
    <n v="335"/>
    <n v="4"/>
    <n v="2"/>
    <n v="2023"/>
    <d v="2023-02-04T00:00:00"/>
    <s v="CUST335"/>
    <x v="1"/>
    <x v="0"/>
    <n v="47"/>
    <x v="0"/>
    <n v="4"/>
    <n v="30"/>
    <n v="120"/>
    <n v="1.7999999999999998"/>
    <n v="2.4"/>
  </r>
  <r>
    <n v="336"/>
    <n v="12"/>
    <n v="12"/>
    <n v="2023"/>
    <d v="2023-12-12T00:00:00"/>
    <s v="CUST336"/>
    <x v="1"/>
    <x v="2"/>
    <n v="52"/>
    <x v="0"/>
    <n v="3"/>
    <n v="50"/>
    <n v="150"/>
    <n v="2.25"/>
    <n v="3"/>
  </r>
  <r>
    <n v="337"/>
    <n v="1"/>
    <n v="5"/>
    <n v="2023"/>
    <d v="2023-05-01T00:00:00"/>
    <s v="CUST337"/>
    <x v="0"/>
    <x v="0"/>
    <n v="38"/>
    <x v="1"/>
    <n v="1"/>
    <n v="500"/>
    <n v="500"/>
    <n v="7.5"/>
    <n v="10"/>
  </r>
  <r>
    <n v="338"/>
    <n v="26"/>
    <n v="7"/>
    <n v="2023"/>
    <d v="2023-07-26T00:00:00"/>
    <s v="CUST338"/>
    <x v="0"/>
    <x v="2"/>
    <n v="54"/>
    <x v="0"/>
    <n v="2"/>
    <n v="50"/>
    <n v="100"/>
    <n v="1.5"/>
    <n v="2"/>
  </r>
  <r>
    <n v="339"/>
    <n v="3"/>
    <n v="3"/>
    <n v="2023"/>
    <d v="2023-03-03T00:00:00"/>
    <s v="CUST339"/>
    <x v="1"/>
    <x v="1"/>
    <n v="22"/>
    <x v="2"/>
    <n v="2"/>
    <n v="25"/>
    <n v="50"/>
    <n v="0.75"/>
    <n v="1"/>
  </r>
  <r>
    <n v="340"/>
    <n v="19"/>
    <n v="10"/>
    <n v="2023"/>
    <d v="2023-10-19T00:00:00"/>
    <s v="CUST340"/>
    <x v="1"/>
    <x v="0"/>
    <n v="36"/>
    <x v="1"/>
    <n v="4"/>
    <n v="300"/>
    <n v="1200"/>
    <n v="18"/>
    <n v="24"/>
  </r>
  <r>
    <n v="341"/>
    <n v="7"/>
    <n v="5"/>
    <n v="2023"/>
    <d v="2023-05-07T00:00:00"/>
    <s v="CUST341"/>
    <x v="0"/>
    <x v="0"/>
    <n v="31"/>
    <x v="1"/>
    <n v="4"/>
    <n v="50"/>
    <n v="200"/>
    <n v="3"/>
    <n v="4"/>
  </r>
  <r>
    <n v="342"/>
    <n v="24"/>
    <n v="10"/>
    <n v="2023"/>
    <d v="2023-10-24T00:00:00"/>
    <s v="CUST342"/>
    <x v="1"/>
    <x v="0"/>
    <n v="43"/>
    <x v="1"/>
    <n v="4"/>
    <n v="500"/>
    <n v="2000"/>
    <n v="30"/>
    <n v="40"/>
  </r>
  <r>
    <n v="343"/>
    <n v="1"/>
    <n v="11"/>
    <n v="2023"/>
    <d v="2023-11-01T00:00:00"/>
    <s v="CUST343"/>
    <x v="0"/>
    <x v="1"/>
    <n v="21"/>
    <x v="2"/>
    <n v="2"/>
    <n v="25"/>
    <n v="50"/>
    <n v="0.75"/>
    <n v="1"/>
  </r>
  <r>
    <n v="344"/>
    <n v="21"/>
    <n v="1"/>
    <n v="2023"/>
    <d v="2023-01-21T00:00:00"/>
    <s v="CUST344"/>
    <x v="1"/>
    <x v="0"/>
    <n v="42"/>
    <x v="0"/>
    <n v="1"/>
    <n v="30"/>
    <n v="30"/>
    <n v="0.44999999999999996"/>
    <n v="0.6"/>
  </r>
  <r>
    <n v="345"/>
    <n v="14"/>
    <n v="11"/>
    <n v="2023"/>
    <d v="2023-11-14T00:00:00"/>
    <s v="CUST345"/>
    <x v="0"/>
    <x v="2"/>
    <n v="62"/>
    <x v="2"/>
    <n v="1"/>
    <n v="30"/>
    <n v="30"/>
    <n v="0.44999999999999996"/>
    <n v="0.6"/>
  </r>
  <r>
    <n v="346"/>
    <n v="11"/>
    <n v="2"/>
    <n v="2023"/>
    <d v="2023-02-11T00:00:00"/>
    <s v="CUST346"/>
    <x v="0"/>
    <x v="2"/>
    <n v="59"/>
    <x v="1"/>
    <n v="2"/>
    <n v="500"/>
    <n v="1000"/>
    <n v="15"/>
    <n v="20"/>
  </r>
  <r>
    <n v="347"/>
    <n v="3"/>
    <n v="8"/>
    <n v="2023"/>
    <d v="2023-08-03T00:00:00"/>
    <s v="CUST347"/>
    <x v="0"/>
    <x v="0"/>
    <n v="42"/>
    <x v="2"/>
    <n v="1"/>
    <n v="25"/>
    <n v="25"/>
    <n v="0.375"/>
    <n v="0.5"/>
  </r>
  <r>
    <n v="348"/>
    <n v="3"/>
    <n v="12"/>
    <n v="2023"/>
    <d v="2023-12-03T00:00:00"/>
    <s v="CUST348"/>
    <x v="1"/>
    <x v="0"/>
    <n v="35"/>
    <x v="2"/>
    <n v="2"/>
    <n v="300"/>
    <n v="600"/>
    <n v="9"/>
    <n v="12"/>
  </r>
  <r>
    <n v="349"/>
    <n v="26"/>
    <n v="10"/>
    <n v="2023"/>
    <d v="2023-10-26T00:00:00"/>
    <s v="CUST349"/>
    <x v="1"/>
    <x v="2"/>
    <n v="57"/>
    <x v="0"/>
    <n v="1"/>
    <n v="50"/>
    <n v="50"/>
    <n v="0.75"/>
    <n v="1"/>
  </r>
  <r>
    <n v="350"/>
    <n v="17"/>
    <n v="10"/>
    <n v="2023"/>
    <d v="2023-10-17T00:00:00"/>
    <s v="CUST350"/>
    <x v="0"/>
    <x v="1"/>
    <n v="25"/>
    <x v="0"/>
    <n v="3"/>
    <n v="25"/>
    <n v="75"/>
    <n v="1.125"/>
    <n v="1.5"/>
  </r>
  <r>
    <n v="351"/>
    <n v="25"/>
    <n v="9"/>
    <n v="2023"/>
    <d v="2023-09-25T00:00:00"/>
    <s v="CUST351"/>
    <x v="1"/>
    <x v="2"/>
    <n v="56"/>
    <x v="1"/>
    <n v="3"/>
    <n v="30"/>
    <n v="90"/>
    <n v="1.3499999999999999"/>
    <n v="1.8"/>
  </r>
  <r>
    <n v="352"/>
    <n v="11"/>
    <n v="6"/>
    <n v="2023"/>
    <d v="2023-06-11T00:00:00"/>
    <s v="CUST352"/>
    <x v="0"/>
    <x v="2"/>
    <n v="57"/>
    <x v="2"/>
    <n v="2"/>
    <n v="500"/>
    <n v="1000"/>
    <n v="15"/>
    <n v="20"/>
  </r>
  <r>
    <n v="353"/>
    <n v="14"/>
    <n v="5"/>
    <n v="2023"/>
    <d v="2023-05-14T00:00:00"/>
    <s v="CUST353"/>
    <x v="0"/>
    <x v="0"/>
    <n v="31"/>
    <x v="2"/>
    <n v="1"/>
    <n v="500"/>
    <n v="500"/>
    <n v="7.5"/>
    <n v="10"/>
  </r>
  <r>
    <n v="354"/>
    <n v="15"/>
    <n v="4"/>
    <n v="2023"/>
    <d v="2023-04-15T00:00:00"/>
    <s v="CUST354"/>
    <x v="1"/>
    <x v="0"/>
    <n v="49"/>
    <x v="0"/>
    <n v="4"/>
    <n v="50"/>
    <n v="200"/>
    <n v="3"/>
    <n v="4"/>
  </r>
  <r>
    <n v="355"/>
    <n v="9"/>
    <n v="12"/>
    <n v="2023"/>
    <d v="2023-12-09T00:00:00"/>
    <s v="CUST355"/>
    <x v="1"/>
    <x v="2"/>
    <n v="55"/>
    <x v="2"/>
    <n v="1"/>
    <n v="500"/>
    <n v="500"/>
    <n v="7.5"/>
    <n v="10"/>
  </r>
  <r>
    <n v="356"/>
    <n v="10"/>
    <n v="6"/>
    <n v="2023"/>
    <d v="2023-06-10T00:00:00"/>
    <s v="CUST356"/>
    <x v="0"/>
    <x v="2"/>
    <n v="50"/>
    <x v="2"/>
    <n v="3"/>
    <n v="500"/>
    <n v="1500"/>
    <n v="22.5"/>
    <n v="30"/>
  </r>
  <r>
    <n v="357"/>
    <n v="3"/>
    <n v="5"/>
    <n v="2023"/>
    <d v="2023-05-03T00:00:00"/>
    <s v="CUST357"/>
    <x v="1"/>
    <x v="0"/>
    <n v="40"/>
    <x v="2"/>
    <n v="3"/>
    <n v="25"/>
    <n v="75"/>
    <n v="1.125"/>
    <n v="1.5"/>
  </r>
  <r>
    <n v="358"/>
    <n v="16"/>
    <n v="5"/>
    <n v="2023"/>
    <d v="2023-05-16T00:00:00"/>
    <s v="CUST358"/>
    <x v="1"/>
    <x v="0"/>
    <n v="32"/>
    <x v="0"/>
    <n v="1"/>
    <n v="300"/>
    <n v="300"/>
    <n v="4.5"/>
    <n v="6"/>
  </r>
  <r>
    <n v="359"/>
    <n v="22"/>
    <n v="7"/>
    <n v="2023"/>
    <d v="2023-07-22T00:00:00"/>
    <s v="CUST359"/>
    <x v="0"/>
    <x v="2"/>
    <n v="50"/>
    <x v="1"/>
    <n v="1"/>
    <n v="50"/>
    <n v="50"/>
    <n v="0.75"/>
    <n v="1"/>
  </r>
  <r>
    <n v="360"/>
    <n v="9"/>
    <n v="3"/>
    <n v="2023"/>
    <d v="2023-03-09T00:00:00"/>
    <s v="CUST360"/>
    <x v="0"/>
    <x v="0"/>
    <n v="42"/>
    <x v="1"/>
    <n v="4"/>
    <n v="25"/>
    <n v="100"/>
    <n v="1.5"/>
    <n v="2"/>
  </r>
  <r>
    <n v="361"/>
    <n v="10"/>
    <n v="12"/>
    <n v="2023"/>
    <d v="2023-12-10T00:00:00"/>
    <s v="CUST361"/>
    <x v="1"/>
    <x v="0"/>
    <n v="34"/>
    <x v="2"/>
    <n v="4"/>
    <n v="300"/>
    <n v="1200"/>
    <n v="18"/>
    <n v="24"/>
  </r>
  <r>
    <n v="362"/>
    <n v="27"/>
    <n v="11"/>
    <n v="2023"/>
    <d v="2023-11-27T00:00:00"/>
    <s v="CUST362"/>
    <x v="0"/>
    <x v="2"/>
    <n v="50"/>
    <x v="1"/>
    <n v="1"/>
    <n v="25"/>
    <n v="25"/>
    <n v="0.375"/>
    <n v="0.5"/>
  </r>
  <r>
    <n v="363"/>
    <n v="3"/>
    <n v="6"/>
    <n v="2023"/>
    <d v="2023-06-03T00:00:00"/>
    <s v="CUST363"/>
    <x v="0"/>
    <x v="2"/>
    <n v="64"/>
    <x v="0"/>
    <n v="1"/>
    <n v="25"/>
    <n v="25"/>
    <n v="0.375"/>
    <n v="0.5"/>
  </r>
  <r>
    <n v="364"/>
    <n v="23"/>
    <n v="8"/>
    <n v="2023"/>
    <d v="2023-08-23T00:00:00"/>
    <s v="CUST364"/>
    <x v="1"/>
    <x v="1"/>
    <n v="19"/>
    <x v="0"/>
    <n v="1"/>
    <n v="500"/>
    <n v="500"/>
    <n v="7.5"/>
    <n v="10"/>
  </r>
  <r>
    <n v="365"/>
    <n v="11"/>
    <n v="6"/>
    <n v="2023"/>
    <d v="2023-06-11T00:00:00"/>
    <s v="CUST365"/>
    <x v="0"/>
    <x v="0"/>
    <n v="31"/>
    <x v="1"/>
    <n v="1"/>
    <n v="300"/>
    <n v="300"/>
    <n v="4.5"/>
    <n v="6"/>
  </r>
  <r>
    <n v="366"/>
    <n v="7"/>
    <n v="2"/>
    <n v="2023"/>
    <d v="2023-02-07T00:00:00"/>
    <s v="CUST366"/>
    <x v="0"/>
    <x v="2"/>
    <n v="57"/>
    <x v="1"/>
    <n v="2"/>
    <n v="50"/>
    <n v="100"/>
    <n v="1.5"/>
    <n v="2"/>
  </r>
  <r>
    <n v="367"/>
    <n v="5"/>
    <n v="1"/>
    <n v="2023"/>
    <d v="2023-01-05T00:00:00"/>
    <s v="CUST367"/>
    <x v="1"/>
    <x v="2"/>
    <n v="57"/>
    <x v="2"/>
    <n v="1"/>
    <n v="50"/>
    <n v="50"/>
    <n v="0.75"/>
    <n v="1"/>
  </r>
  <r>
    <n v="368"/>
    <n v="23"/>
    <n v="8"/>
    <n v="2023"/>
    <d v="2023-08-23T00:00:00"/>
    <s v="CUST368"/>
    <x v="1"/>
    <x v="2"/>
    <n v="56"/>
    <x v="1"/>
    <n v="4"/>
    <n v="300"/>
    <n v="1200"/>
    <n v="18"/>
    <n v="24"/>
  </r>
  <r>
    <n v="369"/>
    <n v="15"/>
    <n v="11"/>
    <n v="2023"/>
    <d v="2023-11-15T00:00:00"/>
    <s v="CUST369"/>
    <x v="0"/>
    <x v="1"/>
    <n v="23"/>
    <x v="2"/>
    <n v="3"/>
    <n v="500"/>
    <n v="1500"/>
    <n v="22.5"/>
    <n v="30"/>
  </r>
  <r>
    <n v="370"/>
    <n v="16"/>
    <n v="10"/>
    <n v="2023"/>
    <d v="2023-10-16T00:00:00"/>
    <s v="CUST370"/>
    <x v="0"/>
    <x v="1"/>
    <n v="23"/>
    <x v="2"/>
    <n v="2"/>
    <n v="30"/>
    <n v="60"/>
    <n v="0.89999999999999991"/>
    <n v="1.2"/>
  </r>
  <r>
    <n v="371"/>
    <n v="21"/>
    <n v="2"/>
    <n v="2023"/>
    <d v="2023-02-21T00:00:00"/>
    <s v="CUST371"/>
    <x v="1"/>
    <x v="1"/>
    <n v="20"/>
    <x v="0"/>
    <n v="1"/>
    <n v="25"/>
    <n v="25"/>
    <n v="0.375"/>
    <n v="0.5"/>
  </r>
  <r>
    <n v="372"/>
    <n v="7"/>
    <n v="2"/>
    <n v="2023"/>
    <d v="2023-02-07T00:00:00"/>
    <s v="CUST372"/>
    <x v="1"/>
    <x v="1"/>
    <n v="24"/>
    <x v="0"/>
    <n v="3"/>
    <n v="500"/>
    <n v="1500"/>
    <n v="22.5"/>
    <n v="30"/>
  </r>
  <r>
    <n v="373"/>
    <n v="3"/>
    <n v="10"/>
    <n v="2023"/>
    <d v="2023-10-03T00:00:00"/>
    <s v="CUST373"/>
    <x v="1"/>
    <x v="1"/>
    <n v="25"/>
    <x v="0"/>
    <n v="2"/>
    <n v="300"/>
    <n v="600"/>
    <n v="9"/>
    <n v="12"/>
  </r>
  <r>
    <n v="374"/>
    <n v="20"/>
    <n v="4"/>
    <n v="2023"/>
    <d v="2023-04-20T00:00:00"/>
    <s v="CUST374"/>
    <x v="1"/>
    <x v="2"/>
    <n v="59"/>
    <x v="0"/>
    <n v="3"/>
    <n v="25"/>
    <n v="75"/>
    <n v="1.125"/>
    <n v="1.5"/>
  </r>
  <r>
    <n v="375"/>
    <n v="17"/>
    <n v="9"/>
    <n v="2023"/>
    <d v="2023-09-17T00:00:00"/>
    <s v="CUST375"/>
    <x v="0"/>
    <x v="0"/>
    <n v="32"/>
    <x v="1"/>
    <n v="1"/>
    <n v="50"/>
    <n v="50"/>
    <n v="0.75"/>
    <n v="1"/>
  </r>
  <r>
    <n v="376"/>
    <n v="16"/>
    <n v="5"/>
    <n v="2023"/>
    <d v="2023-05-16T00:00:00"/>
    <s v="CUST376"/>
    <x v="1"/>
    <x v="2"/>
    <n v="64"/>
    <x v="0"/>
    <n v="1"/>
    <n v="30"/>
    <n v="30"/>
    <n v="0.44999999999999996"/>
    <n v="0.6"/>
  </r>
  <r>
    <n v="377"/>
    <n v="9"/>
    <n v="3"/>
    <n v="2023"/>
    <d v="2023-03-09T00:00:00"/>
    <s v="CUST377"/>
    <x v="1"/>
    <x v="0"/>
    <n v="46"/>
    <x v="1"/>
    <n v="4"/>
    <n v="50"/>
    <n v="200"/>
    <n v="3"/>
    <n v="4"/>
  </r>
  <r>
    <n v="378"/>
    <n v="28"/>
    <n v="6"/>
    <n v="2023"/>
    <d v="2023-06-28T00:00:00"/>
    <s v="CUST378"/>
    <x v="0"/>
    <x v="2"/>
    <n v="50"/>
    <x v="0"/>
    <n v="1"/>
    <n v="300"/>
    <n v="300"/>
    <n v="4.5"/>
    <n v="6"/>
  </r>
  <r>
    <n v="379"/>
    <n v="5"/>
    <n v="2"/>
    <n v="2023"/>
    <d v="2023-02-05T00:00:00"/>
    <s v="CUST379"/>
    <x v="1"/>
    <x v="0"/>
    <n v="47"/>
    <x v="1"/>
    <n v="1"/>
    <n v="25"/>
    <n v="25"/>
    <n v="0.375"/>
    <n v="0.5"/>
  </r>
  <r>
    <n v="380"/>
    <n v="6"/>
    <n v="5"/>
    <n v="2023"/>
    <d v="2023-05-06T00:00:00"/>
    <s v="CUST380"/>
    <x v="0"/>
    <x v="2"/>
    <n v="56"/>
    <x v="2"/>
    <n v="2"/>
    <n v="300"/>
    <n v="600"/>
    <n v="9"/>
    <n v="12"/>
  </r>
  <r>
    <n v="381"/>
    <n v="9"/>
    <n v="7"/>
    <n v="2023"/>
    <d v="2023-07-09T00:00:00"/>
    <s v="CUST381"/>
    <x v="1"/>
    <x v="0"/>
    <n v="44"/>
    <x v="1"/>
    <n v="4"/>
    <n v="25"/>
    <n v="100"/>
    <n v="1.5"/>
    <n v="2"/>
  </r>
  <r>
    <n v="382"/>
    <n v="26"/>
    <n v="5"/>
    <n v="2023"/>
    <d v="2023-05-26T00:00:00"/>
    <s v="CUST382"/>
    <x v="1"/>
    <x v="2"/>
    <n v="53"/>
    <x v="1"/>
    <n v="2"/>
    <n v="500"/>
    <n v="1000"/>
    <n v="15"/>
    <n v="20"/>
  </r>
  <r>
    <n v="383"/>
    <n v="22"/>
    <n v="3"/>
    <n v="2023"/>
    <d v="2023-03-22T00:00:00"/>
    <s v="CUST383"/>
    <x v="1"/>
    <x v="0"/>
    <n v="46"/>
    <x v="0"/>
    <n v="3"/>
    <n v="30"/>
    <n v="90"/>
    <n v="1.3499999999999999"/>
    <n v="1.8"/>
  </r>
  <r>
    <n v="384"/>
    <n v="13"/>
    <n v="8"/>
    <n v="2023"/>
    <d v="2023-08-13T00:00:00"/>
    <s v="CUST384"/>
    <x v="0"/>
    <x v="2"/>
    <n v="55"/>
    <x v="1"/>
    <n v="1"/>
    <n v="500"/>
    <n v="500"/>
    <n v="7.5"/>
    <n v="10"/>
  </r>
  <r>
    <n v="385"/>
    <n v="6"/>
    <n v="10"/>
    <n v="2023"/>
    <d v="2023-10-06T00:00:00"/>
    <s v="CUST385"/>
    <x v="0"/>
    <x v="2"/>
    <n v="50"/>
    <x v="2"/>
    <n v="3"/>
    <n v="500"/>
    <n v="1500"/>
    <n v="22.5"/>
    <n v="30"/>
  </r>
  <r>
    <n v="386"/>
    <n v="27"/>
    <n v="12"/>
    <n v="2023"/>
    <d v="2023-12-27T00:00:00"/>
    <s v="CUST386"/>
    <x v="1"/>
    <x v="2"/>
    <n v="54"/>
    <x v="2"/>
    <n v="2"/>
    <n v="300"/>
    <n v="600"/>
    <n v="9"/>
    <n v="12"/>
  </r>
  <r>
    <n v="387"/>
    <n v="4"/>
    <n v="6"/>
    <n v="2023"/>
    <d v="2023-06-04T00:00:00"/>
    <s v="CUST387"/>
    <x v="0"/>
    <x v="0"/>
    <n v="44"/>
    <x v="0"/>
    <n v="1"/>
    <n v="30"/>
    <n v="30"/>
    <n v="0.44999999999999996"/>
    <n v="0.6"/>
  </r>
  <r>
    <n v="388"/>
    <n v="10"/>
    <n v="11"/>
    <n v="2023"/>
    <d v="2023-11-10T00:00:00"/>
    <s v="CUST388"/>
    <x v="0"/>
    <x v="2"/>
    <n v="50"/>
    <x v="2"/>
    <n v="1"/>
    <n v="25"/>
    <n v="25"/>
    <n v="0.375"/>
    <n v="0.5"/>
  </r>
  <r>
    <n v="389"/>
    <n v="1"/>
    <n v="12"/>
    <n v="2023"/>
    <d v="2023-12-01T00:00:00"/>
    <s v="CUST389"/>
    <x v="0"/>
    <x v="1"/>
    <n v="21"/>
    <x v="1"/>
    <n v="2"/>
    <n v="25"/>
    <n v="50"/>
    <n v="0.75"/>
    <n v="1"/>
  </r>
  <r>
    <n v="390"/>
    <n v="28"/>
    <n v="9"/>
    <n v="2023"/>
    <d v="2023-09-28T00:00:00"/>
    <s v="CUST390"/>
    <x v="0"/>
    <x v="0"/>
    <n v="39"/>
    <x v="2"/>
    <n v="2"/>
    <n v="50"/>
    <n v="100"/>
    <n v="1.5"/>
    <n v="2"/>
  </r>
  <r>
    <n v="391"/>
    <n v="5"/>
    <n v="1"/>
    <n v="2023"/>
    <d v="2023-01-05T00:00:00"/>
    <s v="CUST391"/>
    <x v="0"/>
    <x v="1"/>
    <n v="19"/>
    <x v="0"/>
    <n v="2"/>
    <n v="25"/>
    <n v="50"/>
    <n v="0.75"/>
    <n v="1"/>
  </r>
  <r>
    <n v="392"/>
    <n v="8"/>
    <n v="12"/>
    <n v="2023"/>
    <d v="2023-12-08T00:00:00"/>
    <s v="CUST392"/>
    <x v="0"/>
    <x v="1"/>
    <n v="27"/>
    <x v="1"/>
    <n v="2"/>
    <n v="300"/>
    <n v="600"/>
    <n v="9"/>
    <n v="12"/>
  </r>
  <r>
    <n v="393"/>
    <n v="11"/>
    <n v="10"/>
    <n v="2023"/>
    <d v="2023-10-11T00:00:00"/>
    <s v="CUST393"/>
    <x v="1"/>
    <x v="1"/>
    <n v="22"/>
    <x v="0"/>
    <n v="2"/>
    <n v="500"/>
    <n v="1000"/>
    <n v="15"/>
    <n v="20"/>
  </r>
  <r>
    <n v="394"/>
    <n v="3"/>
    <n v="6"/>
    <n v="2023"/>
    <d v="2023-06-03T00:00:00"/>
    <s v="CUST394"/>
    <x v="1"/>
    <x v="1"/>
    <n v="27"/>
    <x v="1"/>
    <n v="1"/>
    <n v="500"/>
    <n v="500"/>
    <n v="7.5"/>
    <n v="10"/>
  </r>
  <r>
    <n v="395"/>
    <n v="6"/>
    <n v="12"/>
    <n v="2023"/>
    <d v="2023-12-06T00:00:00"/>
    <s v="CUST395"/>
    <x v="0"/>
    <x v="2"/>
    <n v="50"/>
    <x v="2"/>
    <n v="2"/>
    <n v="500"/>
    <n v="1000"/>
    <n v="15"/>
    <n v="20"/>
  </r>
  <r>
    <n v="396"/>
    <n v="23"/>
    <n v="2"/>
    <n v="2023"/>
    <d v="2023-02-23T00:00:00"/>
    <s v="CUST396"/>
    <x v="1"/>
    <x v="2"/>
    <n v="55"/>
    <x v="0"/>
    <n v="1"/>
    <n v="30"/>
    <n v="30"/>
    <n v="0.44999999999999996"/>
    <n v="0.6"/>
  </r>
  <r>
    <n v="397"/>
    <n v="10"/>
    <n v="3"/>
    <n v="2023"/>
    <d v="2023-03-10T00:00:00"/>
    <s v="CUST397"/>
    <x v="1"/>
    <x v="0"/>
    <n v="30"/>
    <x v="0"/>
    <n v="1"/>
    <n v="25"/>
    <n v="25"/>
    <n v="0.375"/>
    <n v="0.5"/>
  </r>
  <r>
    <n v="398"/>
    <n v="16"/>
    <n v="5"/>
    <n v="2023"/>
    <d v="2023-05-16T00:00:00"/>
    <s v="CUST398"/>
    <x v="1"/>
    <x v="0"/>
    <n v="48"/>
    <x v="1"/>
    <n v="2"/>
    <n v="300"/>
    <n v="600"/>
    <n v="9"/>
    <n v="12"/>
  </r>
  <r>
    <n v="399"/>
    <n v="1"/>
    <n v="3"/>
    <n v="2023"/>
    <d v="2023-03-01T00:00:00"/>
    <s v="CUST399"/>
    <x v="1"/>
    <x v="2"/>
    <n v="64"/>
    <x v="0"/>
    <n v="2"/>
    <n v="30"/>
    <n v="60"/>
    <n v="0.89999999999999991"/>
    <n v="1.2"/>
  </r>
  <r>
    <n v="400"/>
    <n v="24"/>
    <n v="2"/>
    <n v="2023"/>
    <d v="2023-02-24T00:00:00"/>
    <s v="CUST400"/>
    <x v="0"/>
    <x v="2"/>
    <n v="53"/>
    <x v="1"/>
    <n v="4"/>
    <n v="50"/>
    <n v="200"/>
    <n v="3"/>
    <n v="4"/>
  </r>
  <r>
    <n v="401"/>
    <n v="11"/>
    <n v="10"/>
    <n v="2023"/>
    <d v="2023-10-11T00:00:00"/>
    <s v="CUST401"/>
    <x v="1"/>
    <x v="2"/>
    <n v="62"/>
    <x v="1"/>
    <n v="1"/>
    <n v="300"/>
    <n v="300"/>
    <n v="4.5"/>
    <n v="6"/>
  </r>
  <r>
    <n v="402"/>
    <n v="21"/>
    <n v="3"/>
    <n v="2023"/>
    <d v="2023-03-21T00:00:00"/>
    <s v="CUST402"/>
    <x v="1"/>
    <x v="0"/>
    <n v="41"/>
    <x v="1"/>
    <n v="2"/>
    <n v="300"/>
    <n v="600"/>
    <n v="9"/>
    <n v="12"/>
  </r>
  <r>
    <n v="403"/>
    <n v="20"/>
    <n v="5"/>
    <n v="2023"/>
    <d v="2023-05-20T00:00:00"/>
    <s v="CUST403"/>
    <x v="0"/>
    <x v="0"/>
    <n v="32"/>
    <x v="1"/>
    <n v="2"/>
    <n v="300"/>
    <n v="600"/>
    <n v="9"/>
    <n v="12"/>
  </r>
  <r>
    <n v="404"/>
    <n v="25"/>
    <n v="5"/>
    <n v="2023"/>
    <d v="2023-05-25T00:00:00"/>
    <s v="CUST404"/>
    <x v="0"/>
    <x v="0"/>
    <n v="46"/>
    <x v="2"/>
    <n v="2"/>
    <n v="500"/>
    <n v="1000"/>
    <n v="15"/>
    <n v="20"/>
  </r>
  <r>
    <n v="405"/>
    <n v="6"/>
    <n v="11"/>
    <n v="2023"/>
    <d v="2023-11-06T00:00:00"/>
    <s v="CUST405"/>
    <x v="1"/>
    <x v="1"/>
    <n v="25"/>
    <x v="1"/>
    <n v="4"/>
    <n v="300"/>
    <n v="1200"/>
    <n v="18"/>
    <n v="24"/>
  </r>
  <r>
    <n v="406"/>
    <n v="18"/>
    <n v="4"/>
    <n v="2023"/>
    <d v="2023-04-18T00:00:00"/>
    <s v="CUST406"/>
    <x v="1"/>
    <x v="1"/>
    <n v="22"/>
    <x v="0"/>
    <n v="4"/>
    <n v="25"/>
    <n v="100"/>
    <n v="1.5"/>
    <n v="2"/>
  </r>
  <r>
    <n v="407"/>
    <n v="25"/>
    <n v="6"/>
    <n v="2023"/>
    <d v="2023-06-25T00:00:00"/>
    <s v="CUST407"/>
    <x v="1"/>
    <x v="0"/>
    <n v="46"/>
    <x v="2"/>
    <n v="3"/>
    <n v="300"/>
    <n v="900"/>
    <n v="13.5"/>
    <n v="18"/>
  </r>
  <r>
    <n v="408"/>
    <n v="15"/>
    <n v="4"/>
    <n v="2023"/>
    <d v="2023-04-15T00:00:00"/>
    <s v="CUST408"/>
    <x v="1"/>
    <x v="2"/>
    <n v="64"/>
    <x v="0"/>
    <n v="1"/>
    <n v="500"/>
    <n v="500"/>
    <n v="7.5"/>
    <n v="10"/>
  </r>
  <r>
    <n v="409"/>
    <n v="18"/>
    <n v="12"/>
    <n v="2023"/>
    <d v="2023-12-18T00:00:00"/>
    <s v="CUST409"/>
    <x v="1"/>
    <x v="1"/>
    <n v="21"/>
    <x v="2"/>
    <n v="3"/>
    <n v="300"/>
    <n v="900"/>
    <n v="13.5"/>
    <n v="18"/>
  </r>
  <r>
    <n v="410"/>
    <n v="21"/>
    <n v="11"/>
    <n v="2023"/>
    <d v="2023-11-21T00:00:00"/>
    <s v="CUST410"/>
    <x v="1"/>
    <x v="1"/>
    <n v="29"/>
    <x v="1"/>
    <n v="2"/>
    <n v="50"/>
    <n v="100"/>
    <n v="1.5"/>
    <n v="2"/>
  </r>
  <r>
    <n v="411"/>
    <n v="16"/>
    <n v="5"/>
    <n v="2023"/>
    <d v="2023-05-16T00:00:00"/>
    <s v="CUST411"/>
    <x v="0"/>
    <x v="2"/>
    <n v="62"/>
    <x v="2"/>
    <n v="4"/>
    <n v="50"/>
    <n v="200"/>
    <n v="3"/>
    <n v="4"/>
  </r>
  <r>
    <n v="412"/>
    <n v="16"/>
    <n v="9"/>
    <n v="2023"/>
    <d v="2023-09-16T00:00:00"/>
    <s v="CUST412"/>
    <x v="1"/>
    <x v="1"/>
    <n v="19"/>
    <x v="2"/>
    <n v="4"/>
    <n v="500"/>
    <n v="2000"/>
    <n v="30"/>
    <n v="40"/>
  </r>
  <r>
    <n v="413"/>
    <n v="8"/>
    <n v="9"/>
    <n v="2023"/>
    <d v="2023-09-08T00:00:00"/>
    <s v="CUST413"/>
    <x v="1"/>
    <x v="0"/>
    <n v="44"/>
    <x v="0"/>
    <n v="3"/>
    <n v="25"/>
    <n v="75"/>
    <n v="1.125"/>
    <n v="1.5"/>
  </r>
  <r>
    <n v="414"/>
    <n v="9"/>
    <n v="5"/>
    <n v="2023"/>
    <d v="2023-05-09T00:00:00"/>
    <s v="CUST414"/>
    <x v="0"/>
    <x v="0"/>
    <n v="48"/>
    <x v="0"/>
    <n v="4"/>
    <n v="25"/>
    <n v="100"/>
    <n v="1.5"/>
    <n v="2"/>
  </r>
  <r>
    <n v="415"/>
    <n v="27"/>
    <n v="1"/>
    <n v="2023"/>
    <d v="2023-01-27T00:00:00"/>
    <s v="CUST415"/>
    <x v="0"/>
    <x v="2"/>
    <n v="53"/>
    <x v="1"/>
    <n v="2"/>
    <n v="30"/>
    <n v="60"/>
    <n v="0.89999999999999991"/>
    <n v="1.2"/>
  </r>
  <r>
    <n v="416"/>
    <n v="17"/>
    <n v="2"/>
    <n v="2023"/>
    <d v="2023-02-17T00:00:00"/>
    <s v="CUST416"/>
    <x v="0"/>
    <x v="2"/>
    <n v="53"/>
    <x v="2"/>
    <n v="4"/>
    <n v="500"/>
    <n v="2000"/>
    <n v="30"/>
    <n v="40"/>
  </r>
  <r>
    <n v="417"/>
    <n v="21"/>
    <n v="11"/>
    <n v="2023"/>
    <d v="2023-11-21T00:00:00"/>
    <s v="CUST417"/>
    <x v="0"/>
    <x v="0"/>
    <n v="43"/>
    <x v="2"/>
    <n v="3"/>
    <n v="300"/>
    <n v="900"/>
    <n v="13.5"/>
    <n v="18"/>
  </r>
  <r>
    <n v="418"/>
    <n v="5"/>
    <n v="8"/>
    <n v="2023"/>
    <d v="2023-08-05T00:00:00"/>
    <s v="CUST418"/>
    <x v="1"/>
    <x v="2"/>
    <n v="60"/>
    <x v="2"/>
    <n v="2"/>
    <n v="500"/>
    <n v="1000"/>
    <n v="15"/>
    <n v="20"/>
  </r>
  <r>
    <n v="419"/>
    <n v="22"/>
    <n v="5"/>
    <n v="2023"/>
    <d v="2023-05-22T00:00:00"/>
    <s v="CUST419"/>
    <x v="1"/>
    <x v="0"/>
    <n v="44"/>
    <x v="1"/>
    <n v="3"/>
    <n v="30"/>
    <n v="90"/>
    <n v="1.3499999999999999"/>
    <n v="1.8"/>
  </r>
  <r>
    <n v="420"/>
    <n v="23"/>
    <n v="1"/>
    <n v="2023"/>
    <d v="2023-01-23T00:00:00"/>
    <s v="CUST420"/>
    <x v="1"/>
    <x v="1"/>
    <n v="22"/>
    <x v="1"/>
    <n v="4"/>
    <n v="500"/>
    <n v="2000"/>
    <n v="30"/>
    <n v="40"/>
  </r>
  <r>
    <n v="421"/>
    <n v="2"/>
    <n v="1"/>
    <n v="2023"/>
    <d v="2023-01-02T00:00:00"/>
    <s v="CUST421"/>
    <x v="1"/>
    <x v="0"/>
    <n v="37"/>
    <x v="1"/>
    <n v="3"/>
    <n v="500"/>
    <n v="1500"/>
    <n v="22.5"/>
    <n v="30"/>
  </r>
  <r>
    <n v="422"/>
    <n v="20"/>
    <n v="6"/>
    <n v="2023"/>
    <d v="2023-06-20T00:00:00"/>
    <s v="CUST422"/>
    <x v="1"/>
    <x v="1"/>
    <n v="28"/>
    <x v="1"/>
    <n v="3"/>
    <n v="30"/>
    <n v="90"/>
    <n v="1.3499999999999999"/>
    <n v="1.8"/>
  </r>
  <r>
    <n v="423"/>
    <n v="8"/>
    <n v="3"/>
    <n v="2023"/>
    <d v="2023-03-08T00:00:00"/>
    <s v="CUST423"/>
    <x v="1"/>
    <x v="1"/>
    <n v="27"/>
    <x v="1"/>
    <n v="1"/>
    <n v="25"/>
    <n v="25"/>
    <n v="0.375"/>
    <n v="0.5"/>
  </r>
  <r>
    <n v="424"/>
    <n v="23"/>
    <n v="11"/>
    <n v="2023"/>
    <d v="2023-11-23T00:00:00"/>
    <s v="CUST424"/>
    <x v="0"/>
    <x v="2"/>
    <n v="57"/>
    <x v="0"/>
    <n v="4"/>
    <n v="300"/>
    <n v="1200"/>
    <n v="18"/>
    <n v="24"/>
  </r>
  <r>
    <n v="425"/>
    <n v="15"/>
    <n v="5"/>
    <n v="2023"/>
    <d v="2023-05-15T00:00:00"/>
    <s v="CUST425"/>
    <x v="1"/>
    <x v="2"/>
    <n v="55"/>
    <x v="2"/>
    <n v="4"/>
    <n v="30"/>
    <n v="120"/>
    <n v="1.7999999999999998"/>
    <n v="2.4"/>
  </r>
  <r>
    <n v="426"/>
    <n v="24"/>
    <n v="3"/>
    <n v="2023"/>
    <d v="2023-03-24T00:00:00"/>
    <s v="CUST426"/>
    <x v="0"/>
    <x v="1"/>
    <n v="23"/>
    <x v="2"/>
    <n v="3"/>
    <n v="50"/>
    <n v="150"/>
    <n v="2.25"/>
    <n v="3"/>
  </r>
  <r>
    <n v="427"/>
    <n v="15"/>
    <n v="8"/>
    <n v="2023"/>
    <d v="2023-08-15T00:00:00"/>
    <s v="CUST427"/>
    <x v="0"/>
    <x v="1"/>
    <n v="25"/>
    <x v="2"/>
    <n v="1"/>
    <n v="25"/>
    <n v="25"/>
    <n v="0.375"/>
    <n v="0.5"/>
  </r>
  <r>
    <n v="428"/>
    <n v="10"/>
    <n v="10"/>
    <n v="2023"/>
    <d v="2023-10-10T00:00:00"/>
    <s v="CUST428"/>
    <x v="1"/>
    <x v="0"/>
    <n v="40"/>
    <x v="2"/>
    <n v="4"/>
    <n v="50"/>
    <n v="200"/>
    <n v="3"/>
    <n v="4"/>
  </r>
  <r>
    <n v="429"/>
    <n v="28"/>
    <n v="12"/>
    <n v="2023"/>
    <d v="2023-12-28T00:00:00"/>
    <s v="CUST429"/>
    <x v="0"/>
    <x v="2"/>
    <n v="64"/>
    <x v="2"/>
    <n v="2"/>
    <n v="25"/>
    <n v="50"/>
    <n v="0.75"/>
    <n v="1"/>
  </r>
  <r>
    <n v="430"/>
    <n v="7"/>
    <n v="8"/>
    <n v="2023"/>
    <d v="2023-08-07T00:00:00"/>
    <s v="CUST430"/>
    <x v="1"/>
    <x v="0"/>
    <n v="43"/>
    <x v="2"/>
    <n v="3"/>
    <n v="300"/>
    <n v="900"/>
    <n v="13.5"/>
    <n v="18"/>
  </r>
  <r>
    <n v="431"/>
    <n v="15"/>
    <n v="10"/>
    <n v="2023"/>
    <d v="2023-10-15T00:00:00"/>
    <s v="CUST431"/>
    <x v="0"/>
    <x v="2"/>
    <n v="63"/>
    <x v="2"/>
    <n v="4"/>
    <n v="300"/>
    <n v="1200"/>
    <n v="18"/>
    <n v="24"/>
  </r>
  <r>
    <n v="432"/>
    <n v="5"/>
    <n v="1"/>
    <n v="2023"/>
    <d v="2023-01-05T00:00:00"/>
    <s v="CUST432"/>
    <x v="1"/>
    <x v="2"/>
    <n v="60"/>
    <x v="2"/>
    <n v="2"/>
    <n v="500"/>
    <n v="1000"/>
    <n v="15"/>
    <n v="20"/>
  </r>
  <r>
    <n v="433"/>
    <n v="27"/>
    <n v="2"/>
    <n v="2023"/>
    <d v="2023-02-27T00:00:00"/>
    <s v="CUST433"/>
    <x v="0"/>
    <x v="1"/>
    <n v="29"/>
    <x v="0"/>
    <n v="4"/>
    <n v="50"/>
    <n v="200"/>
    <n v="3"/>
    <n v="4"/>
  </r>
  <r>
    <n v="434"/>
    <n v="8"/>
    <n v="2"/>
    <n v="2023"/>
    <d v="2023-02-08T00:00:00"/>
    <s v="CUST434"/>
    <x v="1"/>
    <x v="0"/>
    <n v="43"/>
    <x v="2"/>
    <n v="2"/>
    <n v="25"/>
    <n v="50"/>
    <n v="0.75"/>
    <n v="1"/>
  </r>
  <r>
    <n v="435"/>
    <n v="20"/>
    <n v="12"/>
    <n v="2023"/>
    <d v="2023-12-20T00:00:00"/>
    <s v="CUST435"/>
    <x v="1"/>
    <x v="0"/>
    <n v="30"/>
    <x v="0"/>
    <n v="3"/>
    <n v="300"/>
    <n v="900"/>
    <n v="13.5"/>
    <n v="18"/>
  </r>
  <r>
    <n v="436"/>
    <n v="18"/>
    <n v="3"/>
    <n v="2023"/>
    <d v="2023-03-18T00:00:00"/>
    <s v="CUST436"/>
    <x v="1"/>
    <x v="2"/>
    <n v="57"/>
    <x v="1"/>
    <n v="4"/>
    <n v="30"/>
    <n v="120"/>
    <n v="1.7999999999999998"/>
    <n v="2.4"/>
  </r>
  <r>
    <n v="437"/>
    <n v="7"/>
    <n v="10"/>
    <n v="2023"/>
    <d v="2023-10-07T00:00:00"/>
    <s v="CUST437"/>
    <x v="1"/>
    <x v="0"/>
    <n v="35"/>
    <x v="2"/>
    <n v="4"/>
    <n v="300"/>
    <n v="1200"/>
    <n v="18"/>
    <n v="24"/>
  </r>
  <r>
    <n v="438"/>
    <n v="19"/>
    <n v="1"/>
    <n v="2023"/>
    <d v="2023-01-19T00:00:00"/>
    <s v="CUST438"/>
    <x v="1"/>
    <x v="0"/>
    <n v="42"/>
    <x v="1"/>
    <n v="1"/>
    <n v="30"/>
    <n v="30"/>
    <n v="0.44999999999999996"/>
    <n v="0.6"/>
  </r>
  <r>
    <n v="439"/>
    <n v="9"/>
    <n v="7"/>
    <n v="2023"/>
    <d v="2023-07-09T00:00:00"/>
    <s v="CUST439"/>
    <x v="0"/>
    <x v="2"/>
    <n v="50"/>
    <x v="1"/>
    <n v="3"/>
    <n v="25"/>
    <n v="75"/>
    <n v="1.125"/>
    <n v="1.5"/>
  </r>
  <r>
    <n v="440"/>
    <n v="26"/>
    <n v="10"/>
    <n v="2023"/>
    <d v="2023-10-26T00:00:00"/>
    <s v="CUST440"/>
    <x v="0"/>
    <x v="2"/>
    <n v="64"/>
    <x v="1"/>
    <n v="2"/>
    <n v="300"/>
    <n v="600"/>
    <n v="9"/>
    <n v="12"/>
  </r>
  <r>
    <n v="441"/>
    <n v="10"/>
    <n v="10"/>
    <n v="2023"/>
    <d v="2023-10-10T00:00:00"/>
    <s v="CUST441"/>
    <x v="0"/>
    <x v="2"/>
    <n v="57"/>
    <x v="0"/>
    <n v="4"/>
    <n v="300"/>
    <n v="1200"/>
    <n v="18"/>
    <n v="24"/>
  </r>
  <r>
    <n v="442"/>
    <n v="17"/>
    <n v="3"/>
    <n v="2023"/>
    <d v="2023-03-17T00:00:00"/>
    <s v="CUST442"/>
    <x v="1"/>
    <x v="2"/>
    <n v="60"/>
    <x v="1"/>
    <n v="4"/>
    <n v="25"/>
    <n v="100"/>
    <n v="1.5"/>
    <n v="2"/>
  </r>
  <r>
    <n v="443"/>
    <n v="9"/>
    <n v="8"/>
    <n v="2023"/>
    <d v="2023-08-09T00:00:00"/>
    <s v="CUST443"/>
    <x v="0"/>
    <x v="1"/>
    <n v="29"/>
    <x v="1"/>
    <n v="2"/>
    <n v="300"/>
    <n v="600"/>
    <n v="9"/>
    <n v="12"/>
  </r>
  <r>
    <n v="444"/>
    <n v="7"/>
    <n v="3"/>
    <n v="2023"/>
    <d v="2023-03-07T00:00:00"/>
    <s v="CUST444"/>
    <x v="1"/>
    <x v="2"/>
    <n v="61"/>
    <x v="1"/>
    <n v="3"/>
    <n v="30"/>
    <n v="90"/>
    <n v="1.3499999999999999"/>
    <n v="1.8"/>
  </r>
  <r>
    <n v="445"/>
    <n v="22"/>
    <n v="1"/>
    <n v="2023"/>
    <d v="2023-01-22T00:00:00"/>
    <s v="CUST445"/>
    <x v="1"/>
    <x v="2"/>
    <n v="53"/>
    <x v="2"/>
    <n v="1"/>
    <n v="300"/>
    <n v="300"/>
    <n v="4.5"/>
    <n v="6"/>
  </r>
  <r>
    <n v="446"/>
    <n v="7"/>
    <n v="6"/>
    <n v="2023"/>
    <d v="2023-06-07T00:00:00"/>
    <s v="CUST446"/>
    <x v="0"/>
    <x v="1"/>
    <n v="21"/>
    <x v="2"/>
    <n v="1"/>
    <n v="50"/>
    <n v="50"/>
    <n v="0.75"/>
    <n v="1"/>
  </r>
  <r>
    <n v="447"/>
    <n v="6"/>
    <n v="7"/>
    <n v="2023"/>
    <d v="2023-07-06T00:00:00"/>
    <s v="CUST447"/>
    <x v="0"/>
    <x v="1"/>
    <n v="22"/>
    <x v="0"/>
    <n v="4"/>
    <n v="500"/>
    <n v="2000"/>
    <n v="30"/>
    <n v="40"/>
  </r>
  <r>
    <n v="448"/>
    <n v="21"/>
    <n v="1"/>
    <n v="2023"/>
    <d v="2023-01-21T00:00:00"/>
    <s v="CUST448"/>
    <x v="1"/>
    <x v="2"/>
    <n v="54"/>
    <x v="0"/>
    <n v="2"/>
    <n v="30"/>
    <n v="60"/>
    <n v="0.89999999999999991"/>
    <n v="1.2"/>
  </r>
  <r>
    <n v="449"/>
    <n v="3"/>
    <n v="7"/>
    <n v="2023"/>
    <d v="2023-07-03T00:00:00"/>
    <s v="CUST449"/>
    <x v="0"/>
    <x v="1"/>
    <n v="25"/>
    <x v="2"/>
    <n v="4"/>
    <n v="50"/>
    <n v="200"/>
    <n v="3"/>
    <n v="4"/>
  </r>
  <r>
    <n v="450"/>
    <n v="18"/>
    <n v="4"/>
    <n v="2023"/>
    <d v="2023-04-18T00:00:00"/>
    <s v="CUST450"/>
    <x v="1"/>
    <x v="2"/>
    <n v="59"/>
    <x v="0"/>
    <n v="2"/>
    <n v="25"/>
    <n v="50"/>
    <n v="0.75"/>
    <n v="1"/>
  </r>
  <r>
    <n v="451"/>
    <n v="16"/>
    <n v="12"/>
    <n v="2023"/>
    <d v="2023-12-16T00:00:00"/>
    <s v="CUST451"/>
    <x v="1"/>
    <x v="0"/>
    <n v="45"/>
    <x v="2"/>
    <n v="1"/>
    <n v="30"/>
    <n v="30"/>
    <n v="0.44999999999999996"/>
    <n v="0.6"/>
  </r>
  <r>
    <n v="452"/>
    <n v="8"/>
    <n v="5"/>
    <n v="2023"/>
    <d v="2023-05-08T00:00:00"/>
    <s v="CUST452"/>
    <x v="1"/>
    <x v="0"/>
    <n v="48"/>
    <x v="1"/>
    <n v="3"/>
    <n v="500"/>
    <n v="1500"/>
    <n v="22.5"/>
    <n v="30"/>
  </r>
  <r>
    <n v="453"/>
    <n v="8"/>
    <n v="12"/>
    <n v="2023"/>
    <d v="2023-12-08T00:00:00"/>
    <s v="CUST453"/>
    <x v="1"/>
    <x v="1"/>
    <n v="26"/>
    <x v="1"/>
    <n v="2"/>
    <n v="500"/>
    <n v="1000"/>
    <n v="15"/>
    <n v="20"/>
  </r>
  <r>
    <n v="454"/>
    <n v="22"/>
    <n v="2"/>
    <n v="2023"/>
    <d v="2023-02-22T00:00:00"/>
    <s v="CUST454"/>
    <x v="1"/>
    <x v="0"/>
    <n v="46"/>
    <x v="0"/>
    <n v="1"/>
    <n v="25"/>
    <n v="25"/>
    <n v="0.375"/>
    <n v="0.5"/>
  </r>
  <r>
    <n v="455"/>
    <n v="1"/>
    <n v="7"/>
    <n v="2023"/>
    <d v="2023-07-01T00:00:00"/>
    <s v="CUST455"/>
    <x v="0"/>
    <x v="0"/>
    <n v="31"/>
    <x v="2"/>
    <n v="4"/>
    <n v="25"/>
    <n v="100"/>
    <n v="1.5"/>
    <n v="2"/>
  </r>
  <r>
    <n v="456"/>
    <n v="14"/>
    <n v="10"/>
    <n v="2023"/>
    <d v="2023-10-14T00:00:00"/>
    <s v="CUST456"/>
    <x v="0"/>
    <x v="2"/>
    <n v="57"/>
    <x v="2"/>
    <n v="2"/>
    <n v="30"/>
    <n v="60"/>
    <n v="0.89999999999999991"/>
    <n v="1.2"/>
  </r>
  <r>
    <n v="457"/>
    <n v="28"/>
    <n v="7"/>
    <n v="2023"/>
    <d v="2023-07-28T00:00:00"/>
    <s v="CUST457"/>
    <x v="1"/>
    <x v="2"/>
    <n v="58"/>
    <x v="0"/>
    <n v="3"/>
    <n v="300"/>
    <n v="900"/>
    <n v="13.5"/>
    <n v="18"/>
  </r>
  <r>
    <n v="458"/>
    <n v="14"/>
    <n v="11"/>
    <n v="2023"/>
    <d v="2023-11-14T00:00:00"/>
    <s v="CUST458"/>
    <x v="1"/>
    <x v="0"/>
    <n v="39"/>
    <x v="2"/>
    <n v="4"/>
    <n v="25"/>
    <n v="100"/>
    <n v="1.5"/>
    <n v="2"/>
  </r>
  <r>
    <n v="459"/>
    <n v="21"/>
    <n v="3"/>
    <n v="2023"/>
    <d v="2023-03-21T00:00:00"/>
    <s v="CUST459"/>
    <x v="0"/>
    <x v="1"/>
    <n v="28"/>
    <x v="1"/>
    <n v="4"/>
    <n v="300"/>
    <n v="1200"/>
    <n v="18"/>
    <n v="24"/>
  </r>
  <r>
    <n v="460"/>
    <n v="2"/>
    <n v="5"/>
    <n v="2023"/>
    <d v="2023-05-02T00:00:00"/>
    <s v="CUST460"/>
    <x v="0"/>
    <x v="0"/>
    <n v="40"/>
    <x v="0"/>
    <n v="1"/>
    <n v="50"/>
    <n v="50"/>
    <n v="0.75"/>
    <n v="1"/>
  </r>
  <r>
    <n v="461"/>
    <n v="25"/>
    <n v="3"/>
    <n v="2023"/>
    <d v="2023-03-25T00:00:00"/>
    <s v="CUST461"/>
    <x v="1"/>
    <x v="1"/>
    <n v="18"/>
    <x v="0"/>
    <n v="2"/>
    <n v="500"/>
    <n v="1000"/>
    <n v="15"/>
    <n v="20"/>
  </r>
  <r>
    <n v="462"/>
    <n v="1"/>
    <n v="4"/>
    <n v="2023"/>
    <d v="2023-04-01T00:00:00"/>
    <s v="CUST462"/>
    <x v="0"/>
    <x v="2"/>
    <n v="63"/>
    <x v="2"/>
    <n v="4"/>
    <n v="300"/>
    <n v="1200"/>
    <n v="18"/>
    <n v="24"/>
  </r>
  <r>
    <n v="463"/>
    <n v="31"/>
    <n v="7"/>
    <n v="2023"/>
    <d v="2023-07-31T00:00:00"/>
    <s v="CUST463"/>
    <x v="1"/>
    <x v="2"/>
    <n v="54"/>
    <x v="0"/>
    <n v="3"/>
    <n v="500"/>
    <n v="1500"/>
    <n v="22.5"/>
    <n v="30"/>
  </r>
  <r>
    <n v="464"/>
    <n v="13"/>
    <n v="1"/>
    <n v="2023"/>
    <d v="2023-01-13T00:00:00"/>
    <s v="CUST464"/>
    <x v="0"/>
    <x v="0"/>
    <n v="38"/>
    <x v="2"/>
    <n v="2"/>
    <n v="300"/>
    <n v="600"/>
    <n v="9"/>
    <n v="12"/>
  </r>
  <r>
    <n v="465"/>
    <n v="2"/>
    <n v="4"/>
    <n v="2023"/>
    <d v="2023-04-02T00:00:00"/>
    <s v="CUST465"/>
    <x v="1"/>
    <x v="0"/>
    <n v="43"/>
    <x v="2"/>
    <n v="3"/>
    <n v="50"/>
    <n v="150"/>
    <n v="2.25"/>
    <n v="3"/>
  </r>
  <r>
    <n v="466"/>
    <n v="20"/>
    <n v="6"/>
    <n v="2023"/>
    <d v="2023-06-20T00:00:00"/>
    <s v="CUST466"/>
    <x v="0"/>
    <x v="2"/>
    <n v="63"/>
    <x v="2"/>
    <n v="4"/>
    <n v="25"/>
    <n v="100"/>
    <n v="1.5"/>
    <n v="2"/>
  </r>
  <r>
    <n v="467"/>
    <n v="30"/>
    <n v="7"/>
    <n v="2023"/>
    <d v="2023-07-30T00:00:00"/>
    <s v="CUST467"/>
    <x v="1"/>
    <x v="2"/>
    <n v="53"/>
    <x v="2"/>
    <n v="3"/>
    <n v="50"/>
    <n v="150"/>
    <n v="2.25"/>
    <n v="3"/>
  </r>
  <r>
    <n v="468"/>
    <n v="9"/>
    <n v="12"/>
    <n v="2023"/>
    <d v="2023-12-09T00:00:00"/>
    <s v="CUST468"/>
    <x v="0"/>
    <x v="0"/>
    <n v="40"/>
    <x v="2"/>
    <n v="1"/>
    <n v="25"/>
    <n v="25"/>
    <n v="0.375"/>
    <n v="0.5"/>
  </r>
  <r>
    <n v="469"/>
    <n v="8"/>
    <n v="5"/>
    <n v="2023"/>
    <d v="2023-05-08T00:00:00"/>
    <s v="CUST469"/>
    <x v="0"/>
    <x v="1"/>
    <n v="18"/>
    <x v="0"/>
    <n v="3"/>
    <n v="25"/>
    <n v="75"/>
    <n v="1.125"/>
    <n v="1.5"/>
  </r>
  <r>
    <n v="470"/>
    <n v="17"/>
    <n v="5"/>
    <n v="2023"/>
    <d v="2023-05-17T00:00:00"/>
    <s v="CUST470"/>
    <x v="1"/>
    <x v="2"/>
    <n v="57"/>
    <x v="1"/>
    <n v="2"/>
    <n v="500"/>
    <n v="1000"/>
    <n v="15"/>
    <n v="20"/>
  </r>
  <r>
    <n v="471"/>
    <n v="23"/>
    <n v="3"/>
    <n v="2023"/>
    <d v="2023-03-23T00:00:00"/>
    <s v="CUST471"/>
    <x v="0"/>
    <x v="0"/>
    <n v="32"/>
    <x v="1"/>
    <n v="3"/>
    <n v="50"/>
    <n v="150"/>
    <n v="2.25"/>
    <n v="3"/>
  </r>
  <r>
    <n v="472"/>
    <n v="26"/>
    <n v="12"/>
    <n v="2023"/>
    <d v="2023-12-26T00:00:00"/>
    <s v="CUST472"/>
    <x v="1"/>
    <x v="0"/>
    <n v="38"/>
    <x v="0"/>
    <n v="3"/>
    <n v="300"/>
    <n v="900"/>
    <n v="13.5"/>
    <n v="18"/>
  </r>
  <r>
    <n v="473"/>
    <n v="25"/>
    <n v="2"/>
    <n v="2023"/>
    <d v="2023-02-25T00:00:00"/>
    <s v="CUST473"/>
    <x v="0"/>
    <x v="2"/>
    <n v="64"/>
    <x v="0"/>
    <n v="1"/>
    <n v="50"/>
    <n v="50"/>
    <n v="0.75"/>
    <n v="1"/>
  </r>
  <r>
    <n v="474"/>
    <n v="15"/>
    <n v="7"/>
    <n v="2023"/>
    <d v="2023-07-15T00:00:00"/>
    <s v="CUST474"/>
    <x v="1"/>
    <x v="1"/>
    <n v="26"/>
    <x v="1"/>
    <n v="3"/>
    <n v="500"/>
    <n v="1500"/>
    <n v="22.5"/>
    <n v="30"/>
  </r>
  <r>
    <n v="475"/>
    <n v="20"/>
    <n v="1"/>
    <n v="2023"/>
    <d v="2023-01-20T00:00:00"/>
    <s v="CUST475"/>
    <x v="0"/>
    <x v="1"/>
    <n v="26"/>
    <x v="1"/>
    <n v="3"/>
    <n v="25"/>
    <n v="75"/>
    <n v="1.125"/>
    <n v="1.5"/>
  </r>
  <r>
    <n v="476"/>
    <n v="29"/>
    <n v="8"/>
    <n v="2023"/>
    <d v="2023-08-29T00:00:00"/>
    <s v="CUST476"/>
    <x v="1"/>
    <x v="1"/>
    <n v="27"/>
    <x v="1"/>
    <n v="4"/>
    <n v="500"/>
    <n v="2000"/>
    <n v="30"/>
    <n v="40"/>
  </r>
  <r>
    <n v="477"/>
    <n v="24"/>
    <n v="4"/>
    <n v="2023"/>
    <d v="2023-04-24T00:00:00"/>
    <s v="CUST477"/>
    <x v="0"/>
    <x v="0"/>
    <n v="43"/>
    <x v="1"/>
    <n v="4"/>
    <n v="30"/>
    <n v="120"/>
    <n v="1.7999999999999998"/>
    <n v="2.4"/>
  </r>
  <r>
    <n v="478"/>
    <n v="13"/>
    <n v="4"/>
    <n v="2023"/>
    <d v="2023-04-13T00:00:00"/>
    <s v="CUST478"/>
    <x v="1"/>
    <x v="2"/>
    <n v="58"/>
    <x v="1"/>
    <n v="2"/>
    <n v="30"/>
    <n v="60"/>
    <n v="0.89999999999999991"/>
    <n v="1.2"/>
  </r>
  <r>
    <n v="479"/>
    <n v="24"/>
    <n v="8"/>
    <n v="2023"/>
    <d v="2023-08-24T00:00:00"/>
    <s v="CUST479"/>
    <x v="0"/>
    <x v="2"/>
    <n v="52"/>
    <x v="2"/>
    <n v="4"/>
    <n v="300"/>
    <n v="1200"/>
    <n v="18"/>
    <n v="24"/>
  </r>
  <r>
    <n v="480"/>
    <n v="29"/>
    <n v="6"/>
    <n v="2023"/>
    <d v="2023-06-29T00:00:00"/>
    <s v="CUST480"/>
    <x v="1"/>
    <x v="0"/>
    <n v="42"/>
    <x v="0"/>
    <n v="4"/>
    <n v="500"/>
    <n v="2000"/>
    <n v="30"/>
    <n v="40"/>
  </r>
  <r>
    <n v="481"/>
    <n v="6"/>
    <n v="6"/>
    <n v="2023"/>
    <d v="2023-06-06T00:00:00"/>
    <s v="CUST481"/>
    <x v="1"/>
    <x v="0"/>
    <n v="43"/>
    <x v="2"/>
    <n v="4"/>
    <n v="300"/>
    <n v="1200"/>
    <n v="18"/>
    <n v="24"/>
  </r>
  <r>
    <n v="482"/>
    <n v="27"/>
    <n v="4"/>
    <n v="2023"/>
    <d v="2023-04-27T00:00:00"/>
    <s v="CUST482"/>
    <x v="1"/>
    <x v="1"/>
    <n v="28"/>
    <x v="1"/>
    <n v="4"/>
    <n v="300"/>
    <n v="1200"/>
    <n v="18"/>
    <n v="24"/>
  </r>
  <r>
    <n v="483"/>
    <n v="25"/>
    <n v="4"/>
    <n v="2023"/>
    <d v="2023-04-25T00:00:00"/>
    <s v="CUST483"/>
    <x v="0"/>
    <x v="2"/>
    <n v="55"/>
    <x v="1"/>
    <n v="1"/>
    <n v="30"/>
    <n v="30"/>
    <n v="0.44999999999999996"/>
    <n v="0.6"/>
  </r>
  <r>
    <n v="484"/>
    <n v="13"/>
    <n v="1"/>
    <n v="2023"/>
    <d v="2023-01-13T00:00:00"/>
    <s v="CUST484"/>
    <x v="1"/>
    <x v="1"/>
    <n v="19"/>
    <x v="1"/>
    <n v="4"/>
    <n v="300"/>
    <n v="1200"/>
    <n v="18"/>
    <n v="24"/>
  </r>
  <r>
    <n v="485"/>
    <n v="4"/>
    <n v="12"/>
    <n v="2023"/>
    <d v="2023-12-04T00:00:00"/>
    <s v="CUST485"/>
    <x v="0"/>
    <x v="1"/>
    <n v="24"/>
    <x v="2"/>
    <n v="1"/>
    <n v="30"/>
    <n v="30"/>
    <n v="0.44999999999999996"/>
    <n v="0.6"/>
  </r>
  <r>
    <n v="486"/>
    <n v="9"/>
    <n v="4"/>
    <n v="2023"/>
    <d v="2023-04-09T00:00:00"/>
    <s v="CUST486"/>
    <x v="1"/>
    <x v="0"/>
    <n v="35"/>
    <x v="2"/>
    <n v="1"/>
    <n v="25"/>
    <n v="25"/>
    <n v="0.375"/>
    <n v="0.5"/>
  </r>
  <r>
    <n v="487"/>
    <n v="24"/>
    <n v="7"/>
    <n v="2023"/>
    <d v="2023-07-24T00:00:00"/>
    <s v="CUST487"/>
    <x v="0"/>
    <x v="0"/>
    <n v="44"/>
    <x v="1"/>
    <n v="4"/>
    <n v="500"/>
    <n v="2000"/>
    <n v="30"/>
    <n v="40"/>
  </r>
  <r>
    <n v="488"/>
    <n v="18"/>
    <n v="6"/>
    <n v="2023"/>
    <d v="2023-06-18T00:00:00"/>
    <s v="CUST488"/>
    <x v="1"/>
    <x v="2"/>
    <n v="51"/>
    <x v="2"/>
    <n v="3"/>
    <n v="300"/>
    <n v="900"/>
    <n v="13.5"/>
    <n v="18"/>
  </r>
  <r>
    <n v="489"/>
    <n v="23"/>
    <n v="5"/>
    <n v="2023"/>
    <d v="2023-05-23T00:00:00"/>
    <s v="CUST489"/>
    <x v="0"/>
    <x v="0"/>
    <n v="44"/>
    <x v="2"/>
    <n v="1"/>
    <n v="30"/>
    <n v="30"/>
    <n v="0.44999999999999996"/>
    <n v="0.6"/>
  </r>
  <r>
    <n v="490"/>
    <n v="5"/>
    <n v="2"/>
    <n v="2023"/>
    <d v="2023-02-05T00:00:00"/>
    <s v="CUST490"/>
    <x v="0"/>
    <x v="0"/>
    <n v="34"/>
    <x v="1"/>
    <n v="3"/>
    <n v="50"/>
    <n v="150"/>
    <n v="2.25"/>
    <n v="3"/>
  </r>
  <r>
    <n v="491"/>
    <n v="23"/>
    <n v="5"/>
    <n v="2023"/>
    <d v="2023-05-23T00:00:00"/>
    <s v="CUST491"/>
    <x v="1"/>
    <x v="2"/>
    <n v="60"/>
    <x v="2"/>
    <n v="3"/>
    <n v="300"/>
    <n v="900"/>
    <n v="13.5"/>
    <n v="18"/>
  </r>
  <r>
    <n v="492"/>
    <n v="29"/>
    <n v="6"/>
    <n v="2023"/>
    <d v="2023-06-29T00:00:00"/>
    <s v="CUST492"/>
    <x v="0"/>
    <x v="2"/>
    <n v="61"/>
    <x v="0"/>
    <n v="4"/>
    <n v="25"/>
    <n v="100"/>
    <n v="1.5"/>
    <n v="2"/>
  </r>
  <r>
    <n v="493"/>
    <n v="25"/>
    <n v="11"/>
    <n v="2023"/>
    <d v="2023-11-25T00:00:00"/>
    <s v="CUST493"/>
    <x v="0"/>
    <x v="0"/>
    <n v="41"/>
    <x v="0"/>
    <n v="2"/>
    <n v="25"/>
    <n v="50"/>
    <n v="0.75"/>
    <n v="1"/>
  </r>
  <r>
    <n v="494"/>
    <n v="18"/>
    <n v="9"/>
    <n v="2023"/>
    <d v="2023-09-18T00:00:00"/>
    <s v="CUST494"/>
    <x v="1"/>
    <x v="0"/>
    <n v="42"/>
    <x v="0"/>
    <n v="4"/>
    <n v="50"/>
    <n v="200"/>
    <n v="3"/>
    <n v="4"/>
  </r>
  <r>
    <n v="495"/>
    <n v="24"/>
    <n v="7"/>
    <n v="2023"/>
    <d v="2023-07-24T00:00:00"/>
    <s v="CUST495"/>
    <x v="0"/>
    <x v="1"/>
    <n v="24"/>
    <x v="0"/>
    <n v="2"/>
    <n v="30"/>
    <n v="60"/>
    <n v="0.89999999999999991"/>
    <n v="1.2"/>
  </r>
  <r>
    <n v="496"/>
    <n v="14"/>
    <n v="12"/>
    <n v="2023"/>
    <d v="2023-12-14T00:00:00"/>
    <s v="CUST496"/>
    <x v="0"/>
    <x v="1"/>
    <n v="23"/>
    <x v="1"/>
    <n v="2"/>
    <n v="300"/>
    <n v="600"/>
    <n v="9"/>
    <n v="12"/>
  </r>
  <r>
    <n v="497"/>
    <n v="2"/>
    <n v="10"/>
    <n v="2023"/>
    <d v="2023-10-02T00:00:00"/>
    <s v="CUST497"/>
    <x v="0"/>
    <x v="0"/>
    <n v="41"/>
    <x v="1"/>
    <n v="4"/>
    <n v="30"/>
    <n v="120"/>
    <n v="1.7999999999999998"/>
    <n v="2.4"/>
  </r>
  <r>
    <n v="498"/>
    <n v="19"/>
    <n v="6"/>
    <n v="2023"/>
    <d v="2023-06-19T00:00:00"/>
    <s v="CUST498"/>
    <x v="1"/>
    <x v="2"/>
    <n v="50"/>
    <x v="1"/>
    <n v="4"/>
    <n v="25"/>
    <n v="100"/>
    <n v="1.5"/>
    <n v="2"/>
  </r>
  <r>
    <n v="499"/>
    <n v="15"/>
    <n v="1"/>
    <n v="2023"/>
    <d v="2023-01-15T00:00:00"/>
    <s v="CUST499"/>
    <x v="0"/>
    <x v="0"/>
    <n v="46"/>
    <x v="0"/>
    <n v="2"/>
    <n v="30"/>
    <n v="60"/>
    <n v="0.89999999999999991"/>
    <n v="1.2"/>
  </r>
  <r>
    <n v="500"/>
    <n v="1"/>
    <n v="3"/>
    <n v="2023"/>
    <d v="2023-03-01T00:00:00"/>
    <s v="CUST500"/>
    <x v="1"/>
    <x v="2"/>
    <n v="60"/>
    <x v="0"/>
    <n v="4"/>
    <n v="25"/>
    <n v="100"/>
    <n v="1.5"/>
    <n v="2"/>
  </r>
  <r>
    <n v="501"/>
    <n v="14"/>
    <n v="5"/>
    <n v="2023"/>
    <d v="2023-05-14T00:00:00"/>
    <s v="CUST501"/>
    <x v="0"/>
    <x v="0"/>
    <n v="39"/>
    <x v="2"/>
    <n v="2"/>
    <n v="30"/>
    <n v="60"/>
    <n v="0.89999999999999991"/>
    <n v="1.2"/>
  </r>
  <r>
    <n v="502"/>
    <n v="2"/>
    <n v="4"/>
    <n v="2023"/>
    <d v="2023-04-02T00:00:00"/>
    <s v="CUST502"/>
    <x v="0"/>
    <x v="0"/>
    <n v="43"/>
    <x v="2"/>
    <n v="3"/>
    <n v="50"/>
    <n v="150"/>
    <n v="2.25"/>
    <n v="3"/>
  </r>
  <r>
    <n v="503"/>
    <n v="25"/>
    <n v="10"/>
    <n v="2023"/>
    <d v="2023-10-25T00:00:00"/>
    <s v="CUST503"/>
    <x v="0"/>
    <x v="0"/>
    <n v="45"/>
    <x v="0"/>
    <n v="4"/>
    <n v="500"/>
    <n v="2000"/>
    <n v="30"/>
    <n v="40"/>
  </r>
  <r>
    <n v="504"/>
    <n v="16"/>
    <n v="5"/>
    <n v="2023"/>
    <d v="2023-05-16T00:00:00"/>
    <s v="CUST504"/>
    <x v="1"/>
    <x v="0"/>
    <n v="38"/>
    <x v="0"/>
    <n v="3"/>
    <n v="50"/>
    <n v="150"/>
    <n v="2.25"/>
    <n v="3"/>
  </r>
  <r>
    <n v="505"/>
    <n v="20"/>
    <n v="1"/>
    <n v="2023"/>
    <d v="2023-01-20T00:00:00"/>
    <s v="CUST505"/>
    <x v="0"/>
    <x v="1"/>
    <n v="24"/>
    <x v="0"/>
    <n v="1"/>
    <n v="50"/>
    <n v="50"/>
    <n v="0.75"/>
    <n v="1"/>
  </r>
  <r>
    <n v="506"/>
    <n v="25"/>
    <n v="2"/>
    <n v="2023"/>
    <d v="2023-02-25T00:00:00"/>
    <s v="CUST506"/>
    <x v="0"/>
    <x v="0"/>
    <n v="34"/>
    <x v="0"/>
    <n v="3"/>
    <n v="500"/>
    <n v="1500"/>
    <n v="22.5"/>
    <n v="30"/>
  </r>
  <r>
    <n v="507"/>
    <n v="2"/>
    <n v="11"/>
    <n v="2023"/>
    <d v="2023-11-02T00:00:00"/>
    <s v="CUST507"/>
    <x v="1"/>
    <x v="0"/>
    <n v="37"/>
    <x v="2"/>
    <n v="3"/>
    <n v="500"/>
    <n v="1500"/>
    <n v="22.5"/>
    <n v="30"/>
  </r>
  <r>
    <n v="508"/>
    <n v="11"/>
    <n v="8"/>
    <n v="2023"/>
    <d v="2023-08-11T00:00:00"/>
    <s v="CUST508"/>
    <x v="0"/>
    <x v="2"/>
    <n v="58"/>
    <x v="0"/>
    <n v="2"/>
    <n v="300"/>
    <n v="600"/>
    <n v="9"/>
    <n v="12"/>
  </r>
  <r>
    <n v="509"/>
    <n v="26"/>
    <n v="6"/>
    <n v="2023"/>
    <d v="2023-06-26T00:00:00"/>
    <s v="CUST509"/>
    <x v="1"/>
    <x v="0"/>
    <n v="37"/>
    <x v="2"/>
    <n v="3"/>
    <n v="300"/>
    <n v="900"/>
    <n v="13.5"/>
    <n v="18"/>
  </r>
  <r>
    <n v="510"/>
    <n v="10"/>
    <n v="6"/>
    <n v="2023"/>
    <d v="2023-06-10T00:00:00"/>
    <s v="CUST510"/>
    <x v="1"/>
    <x v="0"/>
    <n v="39"/>
    <x v="0"/>
    <n v="4"/>
    <n v="50"/>
    <n v="200"/>
    <n v="3"/>
    <n v="4"/>
  </r>
  <r>
    <n v="511"/>
    <n v="12"/>
    <n v="8"/>
    <n v="2023"/>
    <d v="2023-08-12T00:00:00"/>
    <s v="CUST511"/>
    <x v="0"/>
    <x v="0"/>
    <n v="45"/>
    <x v="0"/>
    <n v="2"/>
    <n v="50"/>
    <n v="100"/>
    <n v="1.5"/>
    <n v="2"/>
  </r>
  <r>
    <n v="512"/>
    <n v="7"/>
    <n v="11"/>
    <n v="2023"/>
    <d v="2023-11-07T00:00:00"/>
    <s v="CUST512"/>
    <x v="1"/>
    <x v="2"/>
    <n v="57"/>
    <x v="0"/>
    <n v="1"/>
    <n v="25"/>
    <n v="25"/>
    <n v="0.375"/>
    <n v="0.5"/>
  </r>
  <r>
    <n v="513"/>
    <n v="19"/>
    <n v="9"/>
    <n v="2023"/>
    <d v="2023-09-19T00:00:00"/>
    <s v="CUST513"/>
    <x v="0"/>
    <x v="1"/>
    <n v="24"/>
    <x v="2"/>
    <n v="4"/>
    <n v="25"/>
    <n v="100"/>
    <n v="1.5"/>
    <n v="2"/>
  </r>
  <r>
    <n v="514"/>
    <n v="1"/>
    <n v="3"/>
    <n v="2023"/>
    <d v="2023-03-01T00:00:00"/>
    <s v="CUST514"/>
    <x v="1"/>
    <x v="1"/>
    <n v="18"/>
    <x v="2"/>
    <n v="1"/>
    <n v="300"/>
    <n v="300"/>
    <n v="4.5"/>
    <n v="6"/>
  </r>
  <r>
    <n v="515"/>
    <n v="17"/>
    <n v="7"/>
    <n v="2023"/>
    <d v="2023-07-17T00:00:00"/>
    <s v="CUST515"/>
    <x v="1"/>
    <x v="0"/>
    <n v="49"/>
    <x v="1"/>
    <n v="3"/>
    <n v="300"/>
    <n v="900"/>
    <n v="13.5"/>
    <n v="18"/>
  </r>
  <r>
    <n v="516"/>
    <n v="23"/>
    <n v="10"/>
    <n v="2023"/>
    <d v="2023-10-23T00:00:00"/>
    <s v="CUST516"/>
    <x v="0"/>
    <x v="0"/>
    <n v="30"/>
    <x v="0"/>
    <n v="4"/>
    <n v="25"/>
    <n v="100"/>
    <n v="1.5"/>
    <n v="2"/>
  </r>
  <r>
    <n v="517"/>
    <n v="8"/>
    <n v="4"/>
    <n v="2023"/>
    <d v="2023-04-08T00:00:00"/>
    <s v="CUST517"/>
    <x v="1"/>
    <x v="0"/>
    <n v="47"/>
    <x v="1"/>
    <n v="4"/>
    <n v="25"/>
    <n v="100"/>
    <n v="1.5"/>
    <n v="2"/>
  </r>
  <r>
    <n v="518"/>
    <n v="11"/>
    <n v="5"/>
    <n v="2023"/>
    <d v="2023-05-11T00:00:00"/>
    <s v="CUST518"/>
    <x v="1"/>
    <x v="0"/>
    <n v="40"/>
    <x v="1"/>
    <n v="1"/>
    <n v="30"/>
    <n v="30"/>
    <n v="0.44999999999999996"/>
    <n v="0.6"/>
  </r>
  <r>
    <n v="519"/>
    <n v="23"/>
    <n v="1"/>
    <n v="2023"/>
    <d v="2023-01-23T00:00:00"/>
    <s v="CUST519"/>
    <x v="1"/>
    <x v="0"/>
    <n v="36"/>
    <x v="2"/>
    <n v="4"/>
    <n v="30"/>
    <n v="120"/>
    <n v="1.7999999999999998"/>
    <n v="2.4"/>
  </r>
  <r>
    <n v="520"/>
    <n v="29"/>
    <n v="12"/>
    <n v="2023"/>
    <d v="2023-12-29T00:00:00"/>
    <s v="CUST520"/>
    <x v="1"/>
    <x v="0"/>
    <n v="49"/>
    <x v="2"/>
    <n v="4"/>
    <n v="25"/>
    <n v="100"/>
    <n v="1.5"/>
    <n v="2"/>
  </r>
  <r>
    <n v="521"/>
    <n v="12"/>
    <n v="8"/>
    <n v="2023"/>
    <d v="2023-08-12T00:00:00"/>
    <s v="CUST521"/>
    <x v="1"/>
    <x v="0"/>
    <n v="47"/>
    <x v="1"/>
    <n v="4"/>
    <n v="30"/>
    <n v="120"/>
    <n v="1.7999999999999998"/>
    <n v="2.4"/>
  </r>
  <r>
    <n v="522"/>
    <n v="1"/>
    <n v="1"/>
    <n v="2023"/>
    <d v="2023-01-01T00:00:00"/>
    <s v="CUST522"/>
    <x v="0"/>
    <x v="0"/>
    <n v="46"/>
    <x v="0"/>
    <n v="3"/>
    <n v="500"/>
    <n v="1500"/>
    <n v="22.5"/>
    <n v="30"/>
  </r>
  <r>
    <n v="523"/>
    <n v="24"/>
    <n v="9"/>
    <n v="2023"/>
    <d v="2023-09-24T00:00:00"/>
    <s v="CUST523"/>
    <x v="1"/>
    <x v="2"/>
    <n v="62"/>
    <x v="2"/>
    <n v="1"/>
    <n v="300"/>
    <n v="300"/>
    <n v="4.5"/>
    <n v="6"/>
  </r>
  <r>
    <n v="524"/>
    <n v="3"/>
    <n v="10"/>
    <n v="2023"/>
    <d v="2023-10-03T00:00:00"/>
    <s v="CUST524"/>
    <x v="0"/>
    <x v="0"/>
    <n v="46"/>
    <x v="0"/>
    <n v="4"/>
    <n v="300"/>
    <n v="1200"/>
    <n v="18"/>
    <n v="24"/>
  </r>
  <r>
    <n v="525"/>
    <n v="18"/>
    <n v="12"/>
    <n v="2023"/>
    <d v="2023-12-18T00:00:00"/>
    <s v="CUST525"/>
    <x v="1"/>
    <x v="0"/>
    <n v="47"/>
    <x v="0"/>
    <n v="2"/>
    <n v="25"/>
    <n v="50"/>
    <n v="0.75"/>
    <n v="1"/>
  </r>
  <r>
    <n v="526"/>
    <n v="10"/>
    <n v="12"/>
    <n v="2023"/>
    <d v="2023-12-10T00:00:00"/>
    <s v="CUST526"/>
    <x v="0"/>
    <x v="0"/>
    <n v="33"/>
    <x v="1"/>
    <n v="2"/>
    <n v="50"/>
    <n v="100"/>
    <n v="1.5"/>
    <n v="2"/>
  </r>
  <r>
    <n v="527"/>
    <n v="11"/>
    <n v="4"/>
    <n v="2023"/>
    <d v="2023-04-11T00:00:00"/>
    <s v="CUST527"/>
    <x v="0"/>
    <x v="2"/>
    <n v="57"/>
    <x v="1"/>
    <n v="2"/>
    <n v="25"/>
    <n v="50"/>
    <n v="0.75"/>
    <n v="1"/>
  </r>
  <r>
    <n v="528"/>
    <n v="6"/>
    <n v="7"/>
    <n v="2023"/>
    <d v="2023-07-06T00:00:00"/>
    <s v="CUST528"/>
    <x v="1"/>
    <x v="0"/>
    <n v="36"/>
    <x v="1"/>
    <n v="2"/>
    <n v="30"/>
    <n v="60"/>
    <n v="0.89999999999999991"/>
    <n v="1.2"/>
  </r>
  <r>
    <n v="529"/>
    <n v="9"/>
    <n v="8"/>
    <n v="2023"/>
    <d v="2023-08-09T00:00:00"/>
    <s v="CUST529"/>
    <x v="1"/>
    <x v="0"/>
    <n v="35"/>
    <x v="1"/>
    <n v="3"/>
    <n v="50"/>
    <n v="150"/>
    <n v="2.25"/>
    <n v="3"/>
  </r>
  <r>
    <n v="530"/>
    <n v="5"/>
    <n v="2"/>
    <n v="2023"/>
    <d v="2023-02-05T00:00:00"/>
    <s v="CUST530"/>
    <x v="1"/>
    <x v="1"/>
    <n v="18"/>
    <x v="2"/>
    <n v="4"/>
    <n v="30"/>
    <n v="120"/>
    <n v="1.7999999999999998"/>
    <n v="2.4"/>
  </r>
  <r>
    <n v="531"/>
    <n v="7"/>
    <n v="12"/>
    <n v="2023"/>
    <d v="2023-12-07T00:00:00"/>
    <s v="CUST531"/>
    <x v="0"/>
    <x v="0"/>
    <n v="31"/>
    <x v="2"/>
    <n v="1"/>
    <n v="500"/>
    <n v="500"/>
    <n v="7.5"/>
    <n v="10"/>
  </r>
  <r>
    <n v="532"/>
    <n v="19"/>
    <n v="6"/>
    <n v="2023"/>
    <d v="2023-06-19T00:00:00"/>
    <s v="CUST532"/>
    <x v="1"/>
    <x v="2"/>
    <n v="64"/>
    <x v="1"/>
    <n v="4"/>
    <n v="30"/>
    <n v="120"/>
    <n v="1.7999999999999998"/>
    <n v="2.4"/>
  </r>
  <r>
    <n v="533"/>
    <n v="16"/>
    <n v="11"/>
    <n v="2023"/>
    <d v="2023-11-16T00:00:00"/>
    <s v="CUST533"/>
    <x v="0"/>
    <x v="1"/>
    <n v="19"/>
    <x v="2"/>
    <n v="3"/>
    <n v="500"/>
    <n v="1500"/>
    <n v="22.5"/>
    <n v="30"/>
  </r>
  <r>
    <n v="534"/>
    <n v="10"/>
    <n v="6"/>
    <n v="2023"/>
    <d v="2023-06-10T00:00:00"/>
    <s v="CUST534"/>
    <x v="0"/>
    <x v="0"/>
    <n v="45"/>
    <x v="1"/>
    <n v="2"/>
    <n v="500"/>
    <n v="1000"/>
    <n v="15"/>
    <n v="20"/>
  </r>
  <r>
    <n v="535"/>
    <n v="6"/>
    <n v="12"/>
    <n v="2023"/>
    <d v="2023-12-06T00:00:00"/>
    <s v="CUST535"/>
    <x v="0"/>
    <x v="0"/>
    <n v="47"/>
    <x v="0"/>
    <n v="3"/>
    <n v="30"/>
    <n v="90"/>
    <n v="1.3499999999999999"/>
    <n v="1.8"/>
  </r>
  <r>
    <n v="536"/>
    <n v="5"/>
    <n v="3"/>
    <n v="2023"/>
    <d v="2023-03-05T00:00:00"/>
    <s v="CUST536"/>
    <x v="1"/>
    <x v="2"/>
    <n v="55"/>
    <x v="0"/>
    <n v="4"/>
    <n v="30"/>
    <n v="120"/>
    <n v="1.7999999999999998"/>
    <n v="2.4"/>
  </r>
  <r>
    <n v="537"/>
    <n v="3"/>
    <n v="6"/>
    <n v="2023"/>
    <d v="2023-06-03T00:00:00"/>
    <s v="CUST537"/>
    <x v="1"/>
    <x v="1"/>
    <n v="21"/>
    <x v="0"/>
    <n v="1"/>
    <n v="500"/>
    <n v="500"/>
    <n v="7.5"/>
    <n v="10"/>
  </r>
  <r>
    <n v="538"/>
    <n v="17"/>
    <n v="9"/>
    <n v="2023"/>
    <d v="2023-09-17T00:00:00"/>
    <s v="CUST538"/>
    <x v="0"/>
    <x v="1"/>
    <n v="18"/>
    <x v="1"/>
    <n v="3"/>
    <n v="50"/>
    <n v="150"/>
    <n v="2.25"/>
    <n v="3"/>
  </r>
  <r>
    <n v="539"/>
    <n v="8"/>
    <n v="6"/>
    <n v="2023"/>
    <d v="2023-06-08T00:00:00"/>
    <s v="CUST539"/>
    <x v="0"/>
    <x v="1"/>
    <n v="25"/>
    <x v="0"/>
    <n v="1"/>
    <n v="500"/>
    <n v="500"/>
    <n v="7.5"/>
    <n v="10"/>
  </r>
  <r>
    <n v="540"/>
    <n v="8"/>
    <n v="12"/>
    <n v="2023"/>
    <d v="2023-12-08T00:00:00"/>
    <s v="CUST540"/>
    <x v="1"/>
    <x v="0"/>
    <n v="46"/>
    <x v="2"/>
    <n v="3"/>
    <n v="300"/>
    <n v="900"/>
    <n v="13.5"/>
    <n v="18"/>
  </r>
  <r>
    <n v="541"/>
    <n v="29"/>
    <n v="7"/>
    <n v="2023"/>
    <d v="2023-07-29T00:00:00"/>
    <s v="CUST541"/>
    <x v="0"/>
    <x v="2"/>
    <n v="56"/>
    <x v="0"/>
    <n v="1"/>
    <n v="500"/>
    <n v="500"/>
    <n v="7.5"/>
    <n v="10"/>
  </r>
  <r>
    <n v="542"/>
    <n v="17"/>
    <n v="6"/>
    <n v="2023"/>
    <d v="2023-06-17T00:00:00"/>
    <s v="CUST542"/>
    <x v="1"/>
    <x v="1"/>
    <n v="20"/>
    <x v="0"/>
    <n v="1"/>
    <n v="50"/>
    <n v="50"/>
    <n v="0.75"/>
    <n v="1"/>
  </r>
  <r>
    <n v="543"/>
    <n v="26"/>
    <n v="7"/>
    <n v="2023"/>
    <d v="2023-07-26T00:00:00"/>
    <s v="CUST543"/>
    <x v="0"/>
    <x v="0"/>
    <n v="49"/>
    <x v="0"/>
    <n v="2"/>
    <n v="300"/>
    <n v="600"/>
    <n v="9"/>
    <n v="12"/>
  </r>
  <r>
    <n v="544"/>
    <n v="23"/>
    <n v="12"/>
    <n v="2023"/>
    <d v="2023-12-23T00:00:00"/>
    <s v="CUST544"/>
    <x v="1"/>
    <x v="1"/>
    <n v="27"/>
    <x v="2"/>
    <n v="1"/>
    <n v="25"/>
    <n v="25"/>
    <n v="0.375"/>
    <n v="0.5"/>
  </r>
  <r>
    <n v="545"/>
    <n v="1"/>
    <n v="6"/>
    <n v="2023"/>
    <d v="2023-06-01T00:00:00"/>
    <s v="CUST545"/>
    <x v="0"/>
    <x v="1"/>
    <n v="27"/>
    <x v="1"/>
    <n v="2"/>
    <n v="25"/>
    <n v="50"/>
    <n v="0.75"/>
    <n v="1"/>
  </r>
  <r>
    <n v="546"/>
    <n v="11"/>
    <n v="10"/>
    <n v="2023"/>
    <d v="2023-10-11T00:00:00"/>
    <s v="CUST546"/>
    <x v="1"/>
    <x v="0"/>
    <n v="36"/>
    <x v="2"/>
    <n v="4"/>
    <n v="50"/>
    <n v="200"/>
    <n v="3"/>
    <n v="4"/>
  </r>
  <r>
    <n v="547"/>
    <n v="7"/>
    <n v="3"/>
    <n v="2023"/>
    <d v="2023-03-07T00:00:00"/>
    <s v="CUST547"/>
    <x v="0"/>
    <x v="2"/>
    <n v="63"/>
    <x v="1"/>
    <n v="4"/>
    <n v="500"/>
    <n v="2000"/>
    <n v="30"/>
    <n v="40"/>
  </r>
  <r>
    <n v="548"/>
    <n v="9"/>
    <n v="4"/>
    <n v="2023"/>
    <d v="2023-04-09T00:00:00"/>
    <s v="CUST548"/>
    <x v="1"/>
    <x v="2"/>
    <n v="51"/>
    <x v="1"/>
    <n v="2"/>
    <n v="30"/>
    <n v="60"/>
    <n v="0.89999999999999991"/>
    <n v="1.2"/>
  </r>
  <r>
    <n v="549"/>
    <n v="4"/>
    <n v="8"/>
    <n v="2023"/>
    <d v="2023-08-04T00:00:00"/>
    <s v="CUST549"/>
    <x v="1"/>
    <x v="2"/>
    <n v="50"/>
    <x v="0"/>
    <n v="2"/>
    <n v="50"/>
    <n v="100"/>
    <n v="1.5"/>
    <n v="2"/>
  </r>
  <r>
    <n v="550"/>
    <n v="7"/>
    <n v="12"/>
    <n v="2023"/>
    <d v="2023-12-07T00:00:00"/>
    <s v="CUST550"/>
    <x v="0"/>
    <x v="0"/>
    <n v="40"/>
    <x v="1"/>
    <n v="3"/>
    <n v="300"/>
    <n v="900"/>
    <n v="13.5"/>
    <n v="18"/>
  </r>
  <r>
    <n v="551"/>
    <n v="14"/>
    <n v="7"/>
    <n v="2023"/>
    <d v="2023-07-14T00:00:00"/>
    <s v="CUST551"/>
    <x v="0"/>
    <x v="0"/>
    <n v="45"/>
    <x v="2"/>
    <n v="3"/>
    <n v="300"/>
    <n v="900"/>
    <n v="13.5"/>
    <n v="18"/>
  </r>
  <r>
    <n v="552"/>
    <n v="13"/>
    <n v="12"/>
    <n v="2023"/>
    <d v="2023-12-13T00:00:00"/>
    <s v="CUST552"/>
    <x v="1"/>
    <x v="0"/>
    <n v="49"/>
    <x v="2"/>
    <n v="3"/>
    <n v="25"/>
    <n v="75"/>
    <n v="1.125"/>
    <n v="1.5"/>
  </r>
  <r>
    <n v="553"/>
    <n v="31"/>
    <n v="3"/>
    <n v="2023"/>
    <d v="2023-03-31T00:00:00"/>
    <s v="CUST553"/>
    <x v="0"/>
    <x v="1"/>
    <n v="24"/>
    <x v="1"/>
    <n v="4"/>
    <n v="300"/>
    <n v="1200"/>
    <n v="18"/>
    <n v="24"/>
  </r>
  <r>
    <n v="554"/>
    <n v="12"/>
    <n v="11"/>
    <n v="2023"/>
    <d v="2023-11-12T00:00:00"/>
    <s v="CUST554"/>
    <x v="1"/>
    <x v="0"/>
    <n v="46"/>
    <x v="0"/>
    <n v="3"/>
    <n v="50"/>
    <n v="150"/>
    <n v="2.25"/>
    <n v="3"/>
  </r>
  <r>
    <n v="555"/>
    <n v="19"/>
    <n v="10"/>
    <n v="2023"/>
    <d v="2023-10-19T00:00:00"/>
    <s v="CUST555"/>
    <x v="0"/>
    <x v="1"/>
    <n v="25"/>
    <x v="0"/>
    <n v="1"/>
    <n v="300"/>
    <n v="300"/>
    <n v="4.5"/>
    <n v="6"/>
  </r>
  <r>
    <n v="556"/>
    <n v="4"/>
    <n v="6"/>
    <n v="2023"/>
    <d v="2023-06-04T00:00:00"/>
    <s v="CUST556"/>
    <x v="1"/>
    <x v="1"/>
    <n v="18"/>
    <x v="2"/>
    <n v="1"/>
    <n v="50"/>
    <n v="50"/>
    <n v="0.75"/>
    <n v="1"/>
  </r>
  <r>
    <n v="557"/>
    <n v="27"/>
    <n v="7"/>
    <n v="2023"/>
    <d v="2023-07-27T00:00:00"/>
    <s v="CUST557"/>
    <x v="1"/>
    <x v="1"/>
    <n v="20"/>
    <x v="0"/>
    <n v="3"/>
    <n v="30"/>
    <n v="90"/>
    <n v="1.3499999999999999"/>
    <n v="1.8"/>
  </r>
  <r>
    <n v="558"/>
    <n v="8"/>
    <n v="10"/>
    <n v="2023"/>
    <d v="2023-10-08T00:00:00"/>
    <s v="CUST558"/>
    <x v="1"/>
    <x v="0"/>
    <n v="41"/>
    <x v="1"/>
    <n v="1"/>
    <n v="25"/>
    <n v="25"/>
    <n v="0.375"/>
    <n v="0.5"/>
  </r>
  <r>
    <n v="559"/>
    <n v="1"/>
    <n v="1"/>
    <n v="2023"/>
    <d v="2023-01-01T00:00:00"/>
    <s v="CUST559"/>
    <x v="1"/>
    <x v="0"/>
    <n v="40"/>
    <x v="1"/>
    <n v="4"/>
    <n v="300"/>
    <n v="1200"/>
    <n v="18"/>
    <n v="24"/>
  </r>
  <r>
    <n v="560"/>
    <n v="5"/>
    <n v="6"/>
    <n v="2023"/>
    <d v="2023-06-05T00:00:00"/>
    <s v="CUST560"/>
    <x v="1"/>
    <x v="1"/>
    <n v="25"/>
    <x v="2"/>
    <n v="1"/>
    <n v="50"/>
    <n v="50"/>
    <n v="0.75"/>
    <n v="1"/>
  </r>
  <r>
    <n v="561"/>
    <n v="27"/>
    <n v="5"/>
    <n v="2023"/>
    <d v="2023-05-27T00:00:00"/>
    <s v="CUST561"/>
    <x v="1"/>
    <x v="2"/>
    <n v="64"/>
    <x v="1"/>
    <n v="4"/>
    <n v="500"/>
    <n v="2000"/>
    <n v="30"/>
    <n v="40"/>
  </r>
  <r>
    <n v="562"/>
    <n v="18"/>
    <n v="4"/>
    <n v="2023"/>
    <d v="2023-04-18T00:00:00"/>
    <s v="CUST562"/>
    <x v="0"/>
    <x v="2"/>
    <n v="54"/>
    <x v="2"/>
    <n v="2"/>
    <n v="25"/>
    <n v="50"/>
    <n v="0.75"/>
    <n v="1"/>
  </r>
  <r>
    <n v="563"/>
    <n v="9"/>
    <n v="8"/>
    <n v="2023"/>
    <d v="2023-08-09T00:00:00"/>
    <s v="CUST563"/>
    <x v="0"/>
    <x v="1"/>
    <n v="20"/>
    <x v="1"/>
    <n v="2"/>
    <n v="30"/>
    <n v="60"/>
    <n v="0.89999999999999991"/>
    <n v="1.2"/>
  </r>
  <r>
    <n v="564"/>
    <n v="24"/>
    <n v="10"/>
    <n v="2023"/>
    <d v="2023-10-24T00:00:00"/>
    <s v="CUST564"/>
    <x v="0"/>
    <x v="2"/>
    <n v="50"/>
    <x v="2"/>
    <n v="2"/>
    <n v="50"/>
    <n v="100"/>
    <n v="1.5"/>
    <n v="2"/>
  </r>
  <r>
    <n v="565"/>
    <n v="7"/>
    <n v="11"/>
    <n v="2023"/>
    <d v="2023-11-07T00:00:00"/>
    <s v="CUST565"/>
    <x v="1"/>
    <x v="0"/>
    <n v="45"/>
    <x v="0"/>
    <n v="2"/>
    <n v="30"/>
    <n v="60"/>
    <n v="0.89999999999999991"/>
    <n v="1.2"/>
  </r>
  <r>
    <n v="566"/>
    <n v="2"/>
    <n v="12"/>
    <n v="2023"/>
    <d v="2023-12-02T00:00:00"/>
    <s v="CUST566"/>
    <x v="1"/>
    <x v="2"/>
    <n v="64"/>
    <x v="1"/>
    <n v="1"/>
    <n v="30"/>
    <n v="30"/>
    <n v="0.44999999999999996"/>
    <n v="0.6"/>
  </r>
  <r>
    <n v="567"/>
    <n v="14"/>
    <n v="6"/>
    <n v="2023"/>
    <d v="2023-06-14T00:00:00"/>
    <s v="CUST567"/>
    <x v="1"/>
    <x v="1"/>
    <n v="25"/>
    <x v="1"/>
    <n v="3"/>
    <n v="300"/>
    <n v="900"/>
    <n v="13.5"/>
    <n v="18"/>
  </r>
  <r>
    <n v="568"/>
    <n v="27"/>
    <n v="8"/>
    <n v="2023"/>
    <d v="2023-08-27T00:00:00"/>
    <s v="CUST568"/>
    <x v="1"/>
    <x v="2"/>
    <n v="51"/>
    <x v="2"/>
    <n v="1"/>
    <n v="300"/>
    <n v="300"/>
    <n v="4.5"/>
    <n v="6"/>
  </r>
  <r>
    <n v="569"/>
    <n v="15"/>
    <n v="8"/>
    <n v="2023"/>
    <d v="2023-08-15T00:00:00"/>
    <s v="CUST569"/>
    <x v="0"/>
    <x v="2"/>
    <n v="52"/>
    <x v="2"/>
    <n v="4"/>
    <n v="50"/>
    <n v="200"/>
    <n v="3"/>
    <n v="4"/>
  </r>
  <r>
    <n v="570"/>
    <n v="15"/>
    <n v="8"/>
    <n v="2023"/>
    <d v="2023-08-15T00:00:00"/>
    <s v="CUST570"/>
    <x v="0"/>
    <x v="0"/>
    <n v="49"/>
    <x v="1"/>
    <n v="1"/>
    <n v="500"/>
    <n v="500"/>
    <n v="7.5"/>
    <n v="10"/>
  </r>
  <r>
    <n v="571"/>
    <n v="12"/>
    <n v="12"/>
    <n v="2023"/>
    <d v="2023-12-12T00:00:00"/>
    <s v="CUST571"/>
    <x v="1"/>
    <x v="0"/>
    <n v="41"/>
    <x v="2"/>
    <n v="1"/>
    <n v="50"/>
    <n v="50"/>
    <n v="0.75"/>
    <n v="1"/>
  </r>
  <r>
    <n v="572"/>
    <n v="20"/>
    <n v="4"/>
    <n v="2023"/>
    <d v="2023-04-20T00:00:00"/>
    <s v="CUST572"/>
    <x v="0"/>
    <x v="0"/>
    <n v="31"/>
    <x v="1"/>
    <n v="4"/>
    <n v="500"/>
    <n v="2000"/>
    <n v="30"/>
    <n v="40"/>
  </r>
  <r>
    <n v="573"/>
    <n v="19"/>
    <n v="9"/>
    <n v="2023"/>
    <d v="2023-09-19T00:00:00"/>
    <s v="CUST573"/>
    <x v="0"/>
    <x v="0"/>
    <n v="49"/>
    <x v="0"/>
    <n v="2"/>
    <n v="30"/>
    <n v="60"/>
    <n v="0.89999999999999991"/>
    <n v="1.2"/>
  </r>
  <r>
    <n v="574"/>
    <n v="31"/>
    <n v="8"/>
    <n v="2023"/>
    <d v="2023-08-31T00:00:00"/>
    <s v="CUST574"/>
    <x v="1"/>
    <x v="2"/>
    <n v="63"/>
    <x v="2"/>
    <n v="2"/>
    <n v="25"/>
    <n v="50"/>
    <n v="0.75"/>
    <n v="1"/>
  </r>
  <r>
    <n v="575"/>
    <n v="28"/>
    <n v="3"/>
    <n v="2023"/>
    <d v="2023-03-28T00:00:00"/>
    <s v="CUST575"/>
    <x v="0"/>
    <x v="2"/>
    <n v="60"/>
    <x v="1"/>
    <n v="2"/>
    <n v="50"/>
    <n v="100"/>
    <n v="1.5"/>
    <n v="2"/>
  </r>
  <r>
    <n v="576"/>
    <n v="4"/>
    <n v="12"/>
    <n v="2023"/>
    <d v="2023-12-04T00:00:00"/>
    <s v="CUST576"/>
    <x v="1"/>
    <x v="0"/>
    <n v="33"/>
    <x v="0"/>
    <n v="3"/>
    <n v="50"/>
    <n v="150"/>
    <n v="2.25"/>
    <n v="3"/>
  </r>
  <r>
    <n v="577"/>
    <n v="13"/>
    <n v="2"/>
    <n v="2023"/>
    <d v="2023-02-13T00:00:00"/>
    <s v="CUST577"/>
    <x v="0"/>
    <x v="1"/>
    <n v="21"/>
    <x v="0"/>
    <n v="4"/>
    <n v="500"/>
    <n v="2000"/>
    <n v="30"/>
    <n v="40"/>
  </r>
  <r>
    <n v="578"/>
    <n v="26"/>
    <n v="5"/>
    <n v="2023"/>
    <d v="2023-05-26T00:00:00"/>
    <s v="CUST578"/>
    <x v="1"/>
    <x v="2"/>
    <n v="54"/>
    <x v="1"/>
    <n v="4"/>
    <n v="30"/>
    <n v="120"/>
    <n v="1.7999999999999998"/>
    <n v="2.4"/>
  </r>
  <r>
    <n v="579"/>
    <n v="21"/>
    <n v="9"/>
    <n v="2023"/>
    <d v="2023-09-21T00:00:00"/>
    <s v="CUST579"/>
    <x v="1"/>
    <x v="0"/>
    <n v="38"/>
    <x v="2"/>
    <n v="1"/>
    <n v="30"/>
    <n v="30"/>
    <n v="0.44999999999999996"/>
    <n v="0.6"/>
  </r>
  <r>
    <n v="580"/>
    <n v="6"/>
    <n v="12"/>
    <n v="2023"/>
    <d v="2023-12-06T00:00:00"/>
    <s v="CUST580"/>
    <x v="1"/>
    <x v="0"/>
    <n v="31"/>
    <x v="1"/>
    <n v="3"/>
    <n v="500"/>
    <n v="1500"/>
    <n v="22.5"/>
    <n v="30"/>
  </r>
  <r>
    <n v="581"/>
    <n v="21"/>
    <n v="11"/>
    <n v="2023"/>
    <d v="2023-11-21T00:00:00"/>
    <s v="CUST581"/>
    <x v="1"/>
    <x v="0"/>
    <n v="48"/>
    <x v="0"/>
    <n v="2"/>
    <n v="30"/>
    <n v="60"/>
    <n v="0.89999999999999991"/>
    <n v="1.2"/>
  </r>
  <r>
    <n v="582"/>
    <n v="14"/>
    <n v="11"/>
    <n v="2023"/>
    <d v="2023-11-14T00:00:00"/>
    <s v="CUST582"/>
    <x v="0"/>
    <x v="0"/>
    <n v="35"/>
    <x v="1"/>
    <n v="3"/>
    <n v="300"/>
    <n v="900"/>
    <n v="13.5"/>
    <n v="18"/>
  </r>
  <r>
    <n v="583"/>
    <n v="21"/>
    <n v="6"/>
    <n v="2023"/>
    <d v="2023-06-21T00:00:00"/>
    <s v="CUST583"/>
    <x v="1"/>
    <x v="1"/>
    <n v="24"/>
    <x v="2"/>
    <n v="4"/>
    <n v="25"/>
    <n v="100"/>
    <n v="1.5"/>
    <n v="2"/>
  </r>
  <r>
    <n v="584"/>
    <n v="17"/>
    <n v="2"/>
    <n v="2023"/>
    <d v="2023-02-17T00:00:00"/>
    <s v="CUST584"/>
    <x v="1"/>
    <x v="1"/>
    <n v="27"/>
    <x v="0"/>
    <n v="4"/>
    <n v="50"/>
    <n v="200"/>
    <n v="3"/>
    <n v="4"/>
  </r>
  <r>
    <n v="585"/>
    <n v="1"/>
    <n v="5"/>
    <n v="2023"/>
    <d v="2023-05-01T00:00:00"/>
    <s v="CUST585"/>
    <x v="1"/>
    <x v="1"/>
    <n v="24"/>
    <x v="1"/>
    <n v="1"/>
    <n v="25"/>
    <n v="25"/>
    <n v="0.375"/>
    <n v="0.5"/>
  </r>
  <r>
    <n v="586"/>
    <n v="11"/>
    <n v="12"/>
    <n v="2023"/>
    <d v="2023-12-11T00:00:00"/>
    <s v="CUST586"/>
    <x v="0"/>
    <x v="2"/>
    <n v="50"/>
    <x v="2"/>
    <n v="1"/>
    <n v="50"/>
    <n v="50"/>
    <n v="0.75"/>
    <n v="1"/>
  </r>
  <r>
    <n v="587"/>
    <n v="8"/>
    <n v="6"/>
    <n v="2023"/>
    <d v="2023-06-08T00:00:00"/>
    <s v="CUST587"/>
    <x v="1"/>
    <x v="0"/>
    <n v="40"/>
    <x v="0"/>
    <n v="4"/>
    <n v="300"/>
    <n v="1200"/>
    <n v="18"/>
    <n v="24"/>
  </r>
  <r>
    <n v="588"/>
    <n v="26"/>
    <n v="4"/>
    <n v="2023"/>
    <d v="2023-04-26T00:00:00"/>
    <s v="CUST588"/>
    <x v="0"/>
    <x v="0"/>
    <n v="38"/>
    <x v="2"/>
    <n v="2"/>
    <n v="30"/>
    <n v="60"/>
    <n v="0.89999999999999991"/>
    <n v="1.2"/>
  </r>
  <r>
    <n v="589"/>
    <n v="12"/>
    <n v="4"/>
    <n v="2023"/>
    <d v="2023-04-12T00:00:00"/>
    <s v="CUST589"/>
    <x v="1"/>
    <x v="0"/>
    <n v="36"/>
    <x v="0"/>
    <n v="2"/>
    <n v="500"/>
    <n v="1000"/>
    <n v="15"/>
    <n v="20"/>
  </r>
  <r>
    <n v="590"/>
    <n v="17"/>
    <n v="3"/>
    <n v="2023"/>
    <d v="2023-03-17T00:00:00"/>
    <s v="CUST590"/>
    <x v="0"/>
    <x v="0"/>
    <n v="36"/>
    <x v="1"/>
    <n v="3"/>
    <n v="300"/>
    <n v="900"/>
    <n v="13.5"/>
    <n v="18"/>
  </r>
  <r>
    <n v="591"/>
    <n v="13"/>
    <n v="1"/>
    <n v="2023"/>
    <d v="2023-01-13T00:00:00"/>
    <s v="CUST591"/>
    <x v="0"/>
    <x v="2"/>
    <n v="53"/>
    <x v="2"/>
    <n v="4"/>
    <n v="25"/>
    <n v="100"/>
    <n v="1.5"/>
    <n v="2"/>
  </r>
  <r>
    <n v="592"/>
    <n v="24"/>
    <n v="1"/>
    <n v="2023"/>
    <d v="2023-01-24T00:00:00"/>
    <s v="CUST592"/>
    <x v="1"/>
    <x v="0"/>
    <n v="46"/>
    <x v="0"/>
    <n v="4"/>
    <n v="500"/>
    <n v="2000"/>
    <n v="30"/>
    <n v="40"/>
  </r>
  <r>
    <n v="593"/>
    <n v="6"/>
    <n v="5"/>
    <n v="2023"/>
    <d v="2023-05-06T00:00:00"/>
    <s v="CUST593"/>
    <x v="0"/>
    <x v="0"/>
    <n v="35"/>
    <x v="2"/>
    <n v="2"/>
    <n v="30"/>
    <n v="60"/>
    <n v="0.89999999999999991"/>
    <n v="1.2"/>
  </r>
  <r>
    <n v="594"/>
    <n v="1"/>
    <n v="9"/>
    <n v="2023"/>
    <d v="2023-09-01T00:00:00"/>
    <s v="CUST594"/>
    <x v="1"/>
    <x v="1"/>
    <n v="19"/>
    <x v="2"/>
    <n v="2"/>
    <n v="300"/>
    <n v="600"/>
    <n v="9"/>
    <n v="12"/>
  </r>
  <r>
    <n v="595"/>
    <n v="9"/>
    <n v="11"/>
    <n v="2023"/>
    <d v="2023-11-09T00:00:00"/>
    <s v="CUST595"/>
    <x v="1"/>
    <x v="1"/>
    <n v="18"/>
    <x v="1"/>
    <n v="4"/>
    <n v="500"/>
    <n v="2000"/>
    <n v="30"/>
    <n v="40"/>
  </r>
  <r>
    <n v="596"/>
    <n v="7"/>
    <n v="2"/>
    <n v="2023"/>
    <d v="2023-02-07T00:00:00"/>
    <s v="CUST596"/>
    <x v="1"/>
    <x v="2"/>
    <n v="64"/>
    <x v="2"/>
    <n v="1"/>
    <n v="300"/>
    <n v="300"/>
    <n v="4.5"/>
    <n v="6"/>
  </r>
  <r>
    <n v="597"/>
    <n v="22"/>
    <n v="8"/>
    <n v="2023"/>
    <d v="2023-08-22T00:00:00"/>
    <s v="CUST597"/>
    <x v="0"/>
    <x v="1"/>
    <n v="22"/>
    <x v="0"/>
    <n v="4"/>
    <n v="300"/>
    <n v="1200"/>
    <n v="18"/>
    <n v="24"/>
  </r>
  <r>
    <n v="598"/>
    <n v="1"/>
    <n v="8"/>
    <n v="2023"/>
    <d v="2023-08-01T00:00:00"/>
    <s v="CUST598"/>
    <x v="0"/>
    <x v="0"/>
    <n v="37"/>
    <x v="0"/>
    <n v="4"/>
    <n v="30"/>
    <n v="120"/>
    <n v="1.7999999999999998"/>
    <n v="2.4"/>
  </r>
  <r>
    <n v="599"/>
    <n v="19"/>
    <n v="11"/>
    <n v="2023"/>
    <d v="2023-11-19T00:00:00"/>
    <s v="CUST599"/>
    <x v="1"/>
    <x v="1"/>
    <n v="28"/>
    <x v="0"/>
    <n v="2"/>
    <n v="50"/>
    <n v="100"/>
    <n v="1.5"/>
    <n v="2"/>
  </r>
  <r>
    <n v="600"/>
    <n v="22"/>
    <n v="10"/>
    <n v="2023"/>
    <d v="2023-10-22T00:00:00"/>
    <s v="CUST600"/>
    <x v="1"/>
    <x v="2"/>
    <n v="59"/>
    <x v="0"/>
    <n v="2"/>
    <n v="500"/>
    <n v="1000"/>
    <n v="15"/>
    <n v="20"/>
  </r>
  <r>
    <n v="601"/>
    <n v="10"/>
    <n v="4"/>
    <n v="2023"/>
    <d v="2023-04-10T00:00:00"/>
    <s v="CUST601"/>
    <x v="0"/>
    <x v="1"/>
    <n v="19"/>
    <x v="1"/>
    <n v="1"/>
    <n v="30"/>
    <n v="30"/>
    <n v="0.44999999999999996"/>
    <n v="0.6"/>
  </r>
  <r>
    <n v="602"/>
    <n v="23"/>
    <n v="12"/>
    <n v="2023"/>
    <d v="2023-12-23T00:00:00"/>
    <s v="CUST602"/>
    <x v="1"/>
    <x v="1"/>
    <n v="20"/>
    <x v="2"/>
    <n v="1"/>
    <n v="300"/>
    <n v="300"/>
    <n v="4.5"/>
    <n v="6"/>
  </r>
  <r>
    <n v="603"/>
    <n v="16"/>
    <n v="7"/>
    <n v="2023"/>
    <d v="2023-07-16T00:00:00"/>
    <s v="CUST603"/>
    <x v="1"/>
    <x v="0"/>
    <n v="40"/>
    <x v="1"/>
    <n v="3"/>
    <n v="30"/>
    <n v="90"/>
    <n v="1.3499999999999999"/>
    <n v="1.8"/>
  </r>
  <r>
    <n v="604"/>
    <n v="11"/>
    <n v="9"/>
    <n v="2023"/>
    <d v="2023-09-11T00:00:00"/>
    <s v="CUST604"/>
    <x v="1"/>
    <x v="1"/>
    <n v="29"/>
    <x v="2"/>
    <n v="4"/>
    <n v="50"/>
    <n v="200"/>
    <n v="3"/>
    <n v="4"/>
  </r>
  <r>
    <n v="605"/>
    <n v="24"/>
    <n v="7"/>
    <n v="2023"/>
    <d v="2023-07-24T00:00:00"/>
    <s v="CUST605"/>
    <x v="0"/>
    <x v="0"/>
    <n v="37"/>
    <x v="2"/>
    <n v="2"/>
    <n v="500"/>
    <n v="1000"/>
    <n v="15"/>
    <n v="20"/>
  </r>
  <r>
    <n v="606"/>
    <n v="5"/>
    <n v="5"/>
    <n v="2023"/>
    <d v="2023-05-05T00:00:00"/>
    <s v="CUST606"/>
    <x v="0"/>
    <x v="1"/>
    <n v="22"/>
    <x v="2"/>
    <n v="1"/>
    <n v="50"/>
    <n v="50"/>
    <n v="0.75"/>
    <n v="1"/>
  </r>
  <r>
    <n v="607"/>
    <n v="17"/>
    <n v="3"/>
    <n v="2023"/>
    <d v="2023-03-17T00:00:00"/>
    <s v="CUST607"/>
    <x v="0"/>
    <x v="2"/>
    <n v="54"/>
    <x v="1"/>
    <n v="3"/>
    <n v="25"/>
    <n v="75"/>
    <n v="1.125"/>
    <n v="1.5"/>
  </r>
  <r>
    <n v="608"/>
    <n v="2"/>
    <n v="12"/>
    <n v="2023"/>
    <d v="2023-12-02T00:00:00"/>
    <s v="CUST608"/>
    <x v="1"/>
    <x v="2"/>
    <n v="55"/>
    <x v="2"/>
    <n v="3"/>
    <n v="500"/>
    <n v="1500"/>
    <n v="22.5"/>
    <n v="30"/>
  </r>
  <r>
    <n v="609"/>
    <n v="19"/>
    <n v="12"/>
    <n v="2023"/>
    <d v="2023-12-19T00:00:00"/>
    <s v="CUST609"/>
    <x v="1"/>
    <x v="0"/>
    <n v="47"/>
    <x v="1"/>
    <n v="2"/>
    <n v="50"/>
    <n v="100"/>
    <n v="1.5"/>
    <n v="2"/>
  </r>
  <r>
    <n v="610"/>
    <n v="3"/>
    <n v="1"/>
    <n v="2023"/>
    <d v="2023-01-03T00:00:00"/>
    <s v="CUST610"/>
    <x v="1"/>
    <x v="1"/>
    <n v="26"/>
    <x v="0"/>
    <n v="2"/>
    <n v="300"/>
    <n v="600"/>
    <n v="9"/>
    <n v="12"/>
  </r>
  <r>
    <n v="611"/>
    <n v="24"/>
    <n v="2"/>
    <n v="2023"/>
    <d v="2023-02-24T00:00:00"/>
    <s v="CUST611"/>
    <x v="0"/>
    <x v="2"/>
    <n v="51"/>
    <x v="0"/>
    <n v="3"/>
    <n v="500"/>
    <n v="1500"/>
    <n v="22.5"/>
    <n v="30"/>
  </r>
  <r>
    <n v="612"/>
    <n v="6"/>
    <n v="8"/>
    <n v="2023"/>
    <d v="2023-08-06T00:00:00"/>
    <s v="CUST612"/>
    <x v="1"/>
    <x v="2"/>
    <n v="61"/>
    <x v="2"/>
    <n v="1"/>
    <n v="500"/>
    <n v="500"/>
    <n v="7.5"/>
    <n v="10"/>
  </r>
  <r>
    <n v="613"/>
    <n v="23"/>
    <n v="4"/>
    <n v="2023"/>
    <d v="2023-04-23T00:00:00"/>
    <s v="CUST613"/>
    <x v="1"/>
    <x v="2"/>
    <n v="52"/>
    <x v="1"/>
    <n v="3"/>
    <n v="30"/>
    <n v="90"/>
    <n v="1.3499999999999999"/>
    <n v="1.8"/>
  </r>
  <r>
    <n v="614"/>
    <n v="1"/>
    <n v="4"/>
    <n v="2023"/>
    <d v="2023-04-01T00:00:00"/>
    <s v="CUST614"/>
    <x v="1"/>
    <x v="0"/>
    <n v="39"/>
    <x v="0"/>
    <n v="4"/>
    <n v="300"/>
    <n v="1200"/>
    <n v="18"/>
    <n v="24"/>
  </r>
  <r>
    <n v="615"/>
    <n v="23"/>
    <n v="12"/>
    <n v="2023"/>
    <d v="2023-12-23T00:00:00"/>
    <s v="CUST615"/>
    <x v="1"/>
    <x v="2"/>
    <n v="61"/>
    <x v="1"/>
    <n v="4"/>
    <n v="25"/>
    <n v="100"/>
    <n v="1.5"/>
    <n v="2"/>
  </r>
  <r>
    <n v="616"/>
    <n v="23"/>
    <n v="9"/>
    <n v="2023"/>
    <d v="2023-09-23T00:00:00"/>
    <s v="CUST616"/>
    <x v="0"/>
    <x v="0"/>
    <n v="41"/>
    <x v="1"/>
    <n v="2"/>
    <n v="50"/>
    <n v="100"/>
    <n v="1.5"/>
    <n v="2"/>
  </r>
  <r>
    <n v="617"/>
    <n v="26"/>
    <n v="8"/>
    <n v="2023"/>
    <d v="2023-08-26T00:00:00"/>
    <s v="CUST617"/>
    <x v="0"/>
    <x v="0"/>
    <n v="34"/>
    <x v="2"/>
    <n v="1"/>
    <n v="30"/>
    <n v="30"/>
    <n v="0.44999999999999996"/>
    <n v="0.6"/>
  </r>
  <r>
    <n v="618"/>
    <n v="26"/>
    <n v="1"/>
    <n v="2023"/>
    <d v="2023-01-26T00:00:00"/>
    <s v="CUST618"/>
    <x v="1"/>
    <x v="1"/>
    <n v="27"/>
    <x v="0"/>
    <n v="1"/>
    <n v="50"/>
    <n v="50"/>
    <n v="0.75"/>
    <n v="1"/>
  </r>
  <r>
    <n v="619"/>
    <n v="13"/>
    <n v="10"/>
    <n v="2023"/>
    <d v="2023-10-13T00:00:00"/>
    <s v="CUST619"/>
    <x v="0"/>
    <x v="0"/>
    <n v="47"/>
    <x v="2"/>
    <n v="4"/>
    <n v="25"/>
    <n v="100"/>
    <n v="1.5"/>
    <n v="2"/>
  </r>
  <r>
    <n v="620"/>
    <n v="8"/>
    <n v="5"/>
    <n v="2023"/>
    <d v="2023-05-08T00:00:00"/>
    <s v="CUST620"/>
    <x v="0"/>
    <x v="2"/>
    <n v="63"/>
    <x v="2"/>
    <n v="3"/>
    <n v="25"/>
    <n v="75"/>
    <n v="1.125"/>
    <n v="1.5"/>
  </r>
  <r>
    <n v="621"/>
    <n v="4"/>
    <n v="3"/>
    <n v="2023"/>
    <d v="2023-03-04T00:00:00"/>
    <s v="CUST621"/>
    <x v="1"/>
    <x v="0"/>
    <n v="40"/>
    <x v="0"/>
    <n v="2"/>
    <n v="500"/>
    <n v="1000"/>
    <n v="15"/>
    <n v="20"/>
  </r>
  <r>
    <n v="622"/>
    <n v="22"/>
    <n v="8"/>
    <n v="2023"/>
    <d v="2023-08-22T00:00:00"/>
    <s v="CUST622"/>
    <x v="1"/>
    <x v="0"/>
    <n v="49"/>
    <x v="0"/>
    <n v="3"/>
    <n v="25"/>
    <n v="75"/>
    <n v="1.125"/>
    <n v="1.5"/>
  </r>
  <r>
    <n v="623"/>
    <n v="10"/>
    <n v="3"/>
    <n v="2023"/>
    <d v="2023-03-10T00:00:00"/>
    <s v="CUST623"/>
    <x v="0"/>
    <x v="0"/>
    <n v="34"/>
    <x v="1"/>
    <n v="3"/>
    <n v="50"/>
    <n v="150"/>
    <n v="2.25"/>
    <n v="3"/>
  </r>
  <r>
    <n v="624"/>
    <n v="26"/>
    <n v="8"/>
    <n v="2023"/>
    <d v="2023-08-26T00:00:00"/>
    <s v="CUST624"/>
    <x v="1"/>
    <x v="0"/>
    <n v="34"/>
    <x v="0"/>
    <n v="3"/>
    <n v="300"/>
    <n v="900"/>
    <n v="13.5"/>
    <n v="18"/>
  </r>
  <r>
    <n v="625"/>
    <n v="8"/>
    <n v="12"/>
    <n v="2023"/>
    <d v="2023-12-08T00:00:00"/>
    <s v="CUST625"/>
    <x v="0"/>
    <x v="0"/>
    <n v="31"/>
    <x v="1"/>
    <n v="1"/>
    <n v="300"/>
    <n v="300"/>
    <n v="4.5"/>
    <n v="6"/>
  </r>
  <r>
    <n v="626"/>
    <n v="29"/>
    <n v="9"/>
    <n v="2023"/>
    <d v="2023-09-29T00:00:00"/>
    <s v="CUST626"/>
    <x v="1"/>
    <x v="1"/>
    <n v="26"/>
    <x v="1"/>
    <n v="4"/>
    <n v="500"/>
    <n v="2000"/>
    <n v="30"/>
    <n v="40"/>
  </r>
  <r>
    <n v="627"/>
    <n v="14"/>
    <n v="10"/>
    <n v="2023"/>
    <d v="2023-10-14T00:00:00"/>
    <s v="CUST627"/>
    <x v="0"/>
    <x v="2"/>
    <n v="57"/>
    <x v="1"/>
    <n v="1"/>
    <n v="50"/>
    <n v="50"/>
    <n v="0.75"/>
    <n v="1"/>
  </r>
  <r>
    <n v="628"/>
    <n v="1"/>
    <n v="11"/>
    <n v="2023"/>
    <d v="2023-11-01T00:00:00"/>
    <s v="CUST628"/>
    <x v="1"/>
    <x v="1"/>
    <n v="19"/>
    <x v="0"/>
    <n v="4"/>
    <n v="50"/>
    <n v="200"/>
    <n v="3"/>
    <n v="4"/>
  </r>
  <r>
    <n v="629"/>
    <n v="12"/>
    <n v="6"/>
    <n v="2023"/>
    <d v="2023-06-12T00:00:00"/>
    <s v="CUST629"/>
    <x v="0"/>
    <x v="2"/>
    <n v="62"/>
    <x v="2"/>
    <n v="2"/>
    <n v="25"/>
    <n v="50"/>
    <n v="0.75"/>
    <n v="1"/>
  </r>
  <r>
    <n v="630"/>
    <n v="15"/>
    <n v="8"/>
    <n v="2023"/>
    <d v="2023-08-15T00:00:00"/>
    <s v="CUST630"/>
    <x v="0"/>
    <x v="0"/>
    <n v="42"/>
    <x v="1"/>
    <n v="2"/>
    <n v="50"/>
    <n v="100"/>
    <n v="1.5"/>
    <n v="2"/>
  </r>
  <r>
    <n v="631"/>
    <n v="10"/>
    <n v="11"/>
    <n v="2023"/>
    <d v="2023-11-10T00:00:00"/>
    <s v="CUST631"/>
    <x v="0"/>
    <x v="2"/>
    <n v="56"/>
    <x v="2"/>
    <n v="3"/>
    <n v="30"/>
    <n v="90"/>
    <n v="1.3499999999999999"/>
    <n v="1.8"/>
  </r>
  <r>
    <n v="632"/>
    <n v="16"/>
    <n v="9"/>
    <n v="2023"/>
    <d v="2023-09-16T00:00:00"/>
    <s v="CUST632"/>
    <x v="1"/>
    <x v="1"/>
    <n v="26"/>
    <x v="2"/>
    <n v="4"/>
    <n v="25"/>
    <n v="100"/>
    <n v="1.5"/>
    <n v="2"/>
  </r>
  <r>
    <n v="633"/>
    <n v="7"/>
    <n v="8"/>
    <n v="2023"/>
    <d v="2023-08-07T00:00:00"/>
    <s v="CUST633"/>
    <x v="0"/>
    <x v="0"/>
    <n v="39"/>
    <x v="0"/>
    <n v="4"/>
    <n v="30"/>
    <n v="120"/>
    <n v="1.7999999999999998"/>
    <n v="2.4"/>
  </r>
  <r>
    <n v="634"/>
    <n v="8"/>
    <n v="10"/>
    <n v="2023"/>
    <d v="2023-10-08T00:00:00"/>
    <s v="CUST634"/>
    <x v="0"/>
    <x v="2"/>
    <n v="60"/>
    <x v="2"/>
    <n v="4"/>
    <n v="500"/>
    <n v="2000"/>
    <n v="30"/>
    <n v="40"/>
  </r>
  <r>
    <n v="635"/>
    <n v="17"/>
    <n v="8"/>
    <n v="2023"/>
    <d v="2023-08-17T00:00:00"/>
    <s v="CUST635"/>
    <x v="1"/>
    <x v="2"/>
    <n v="63"/>
    <x v="2"/>
    <n v="3"/>
    <n v="300"/>
    <n v="900"/>
    <n v="13.5"/>
    <n v="18"/>
  </r>
  <r>
    <n v="636"/>
    <n v="23"/>
    <n v="3"/>
    <n v="2023"/>
    <d v="2023-03-23T00:00:00"/>
    <s v="CUST636"/>
    <x v="1"/>
    <x v="1"/>
    <n v="21"/>
    <x v="0"/>
    <n v="3"/>
    <n v="500"/>
    <n v="1500"/>
    <n v="22.5"/>
    <n v="30"/>
  </r>
  <r>
    <n v="637"/>
    <n v="1"/>
    <n v="9"/>
    <n v="2023"/>
    <d v="2023-09-01T00:00:00"/>
    <s v="CUST637"/>
    <x v="0"/>
    <x v="0"/>
    <n v="43"/>
    <x v="1"/>
    <n v="2"/>
    <n v="300"/>
    <n v="600"/>
    <n v="9"/>
    <n v="12"/>
  </r>
  <r>
    <n v="638"/>
    <n v="19"/>
    <n v="8"/>
    <n v="2023"/>
    <d v="2023-08-19T00:00:00"/>
    <s v="CUST638"/>
    <x v="0"/>
    <x v="0"/>
    <n v="46"/>
    <x v="2"/>
    <n v="1"/>
    <n v="500"/>
    <n v="500"/>
    <n v="7.5"/>
    <n v="10"/>
  </r>
  <r>
    <n v="639"/>
    <n v="13"/>
    <n v="5"/>
    <n v="2023"/>
    <d v="2023-05-13T00:00:00"/>
    <s v="CUST639"/>
    <x v="1"/>
    <x v="2"/>
    <n v="62"/>
    <x v="0"/>
    <n v="4"/>
    <n v="50"/>
    <n v="200"/>
    <n v="3"/>
    <n v="4"/>
  </r>
  <r>
    <n v="640"/>
    <n v="7"/>
    <n v="5"/>
    <n v="2023"/>
    <d v="2023-05-07T00:00:00"/>
    <s v="CUST640"/>
    <x v="1"/>
    <x v="2"/>
    <n v="51"/>
    <x v="2"/>
    <n v="4"/>
    <n v="30"/>
    <n v="120"/>
    <n v="1.7999999999999998"/>
    <n v="2.4"/>
  </r>
  <r>
    <n v="641"/>
    <n v="23"/>
    <n v="11"/>
    <n v="2023"/>
    <d v="2023-11-23T00:00:00"/>
    <s v="CUST641"/>
    <x v="1"/>
    <x v="0"/>
    <n v="40"/>
    <x v="2"/>
    <n v="1"/>
    <n v="300"/>
    <n v="300"/>
    <n v="4.5"/>
    <n v="6"/>
  </r>
  <r>
    <n v="642"/>
    <n v="22"/>
    <n v="5"/>
    <n v="2023"/>
    <d v="2023-05-22T00:00:00"/>
    <s v="CUST642"/>
    <x v="1"/>
    <x v="2"/>
    <n v="54"/>
    <x v="1"/>
    <n v="4"/>
    <n v="25"/>
    <n v="100"/>
    <n v="1.5"/>
    <n v="2"/>
  </r>
  <r>
    <n v="643"/>
    <n v="24"/>
    <n v="9"/>
    <n v="2023"/>
    <d v="2023-09-24T00:00:00"/>
    <s v="CUST643"/>
    <x v="1"/>
    <x v="1"/>
    <n v="28"/>
    <x v="2"/>
    <n v="3"/>
    <n v="30"/>
    <n v="90"/>
    <n v="1.3499999999999999"/>
    <n v="1.8"/>
  </r>
  <r>
    <n v="644"/>
    <n v="6"/>
    <n v="9"/>
    <n v="2023"/>
    <d v="2023-09-06T00:00:00"/>
    <s v="CUST644"/>
    <x v="0"/>
    <x v="1"/>
    <n v="23"/>
    <x v="0"/>
    <n v="3"/>
    <n v="25"/>
    <n v="75"/>
    <n v="1.125"/>
    <n v="1.5"/>
  </r>
  <r>
    <n v="645"/>
    <n v="17"/>
    <n v="11"/>
    <n v="2023"/>
    <d v="2023-11-17T00:00:00"/>
    <s v="CUST645"/>
    <x v="1"/>
    <x v="0"/>
    <n v="35"/>
    <x v="2"/>
    <n v="4"/>
    <n v="30"/>
    <n v="120"/>
    <n v="1.7999999999999998"/>
    <n v="2.4"/>
  </r>
  <r>
    <n v="646"/>
    <n v="3"/>
    <n v="5"/>
    <n v="2023"/>
    <d v="2023-05-03T00:00:00"/>
    <s v="CUST646"/>
    <x v="0"/>
    <x v="0"/>
    <n v="38"/>
    <x v="1"/>
    <n v="3"/>
    <n v="30"/>
    <n v="90"/>
    <n v="1.3499999999999999"/>
    <n v="1.8"/>
  </r>
  <r>
    <n v="647"/>
    <n v="21"/>
    <n v="5"/>
    <n v="2023"/>
    <d v="2023-05-21T00:00:00"/>
    <s v="CUST647"/>
    <x v="0"/>
    <x v="2"/>
    <n v="59"/>
    <x v="1"/>
    <n v="3"/>
    <n v="500"/>
    <n v="1500"/>
    <n v="22.5"/>
    <n v="30"/>
  </r>
  <r>
    <n v="648"/>
    <n v="14"/>
    <n v="8"/>
    <n v="2023"/>
    <d v="2023-08-14T00:00:00"/>
    <s v="CUST648"/>
    <x v="0"/>
    <x v="2"/>
    <n v="53"/>
    <x v="0"/>
    <n v="4"/>
    <n v="300"/>
    <n v="1200"/>
    <n v="18"/>
    <n v="24"/>
  </r>
  <r>
    <n v="649"/>
    <n v="9"/>
    <n v="2"/>
    <n v="2023"/>
    <d v="2023-02-09T00:00:00"/>
    <s v="CUST649"/>
    <x v="1"/>
    <x v="2"/>
    <n v="58"/>
    <x v="1"/>
    <n v="2"/>
    <n v="300"/>
    <n v="600"/>
    <n v="9"/>
    <n v="12"/>
  </r>
  <r>
    <n v="650"/>
    <n v="1"/>
    <n v="1"/>
    <n v="2024"/>
    <d v="2024-01-01T00:00:00"/>
    <s v="CUST650"/>
    <x v="0"/>
    <x v="2"/>
    <n v="55"/>
    <x v="2"/>
    <n v="1"/>
    <n v="30"/>
    <n v="30"/>
    <n v="0.44999999999999996"/>
    <n v="0.6"/>
  </r>
  <r>
    <n v="651"/>
    <n v="27"/>
    <n v="5"/>
    <n v="2023"/>
    <d v="2023-05-27T00:00:00"/>
    <s v="CUST651"/>
    <x v="0"/>
    <x v="2"/>
    <n v="51"/>
    <x v="1"/>
    <n v="3"/>
    <n v="50"/>
    <n v="150"/>
    <n v="2.25"/>
    <n v="3"/>
  </r>
  <r>
    <n v="652"/>
    <n v="1"/>
    <n v="5"/>
    <n v="2023"/>
    <d v="2023-05-01T00:00:00"/>
    <s v="CUST652"/>
    <x v="1"/>
    <x v="0"/>
    <n v="34"/>
    <x v="0"/>
    <n v="2"/>
    <n v="50"/>
    <n v="100"/>
    <n v="1.5"/>
    <n v="2"/>
  </r>
  <r>
    <n v="653"/>
    <n v="20"/>
    <n v="5"/>
    <n v="2023"/>
    <d v="2023-05-20T00:00:00"/>
    <s v="CUST653"/>
    <x v="0"/>
    <x v="2"/>
    <n v="54"/>
    <x v="1"/>
    <n v="3"/>
    <n v="25"/>
    <n v="75"/>
    <n v="1.125"/>
    <n v="1.5"/>
  </r>
  <r>
    <n v="654"/>
    <n v="21"/>
    <n v="6"/>
    <n v="2023"/>
    <d v="2023-06-21T00:00:00"/>
    <s v="CUST654"/>
    <x v="0"/>
    <x v="0"/>
    <n v="42"/>
    <x v="1"/>
    <n v="3"/>
    <n v="25"/>
    <n v="75"/>
    <n v="1.125"/>
    <n v="1.5"/>
  </r>
  <r>
    <n v="655"/>
    <n v="13"/>
    <n v="6"/>
    <n v="2023"/>
    <d v="2023-06-13T00:00:00"/>
    <s v="CUST655"/>
    <x v="1"/>
    <x v="2"/>
    <n v="55"/>
    <x v="1"/>
    <n v="1"/>
    <n v="500"/>
    <n v="500"/>
    <n v="7.5"/>
    <n v="10"/>
  </r>
  <r>
    <n v="656"/>
    <n v="4"/>
    <n v="10"/>
    <n v="2023"/>
    <d v="2023-10-04T00:00:00"/>
    <s v="CUST656"/>
    <x v="0"/>
    <x v="1"/>
    <n v="29"/>
    <x v="0"/>
    <n v="3"/>
    <n v="30"/>
    <n v="90"/>
    <n v="1.3499999999999999"/>
    <n v="1.8"/>
  </r>
  <r>
    <n v="657"/>
    <n v="11"/>
    <n v="2"/>
    <n v="2023"/>
    <d v="2023-02-11T00:00:00"/>
    <s v="CUST657"/>
    <x v="0"/>
    <x v="0"/>
    <n v="40"/>
    <x v="1"/>
    <n v="1"/>
    <n v="25"/>
    <n v="25"/>
    <n v="0.375"/>
    <n v="0.5"/>
  </r>
  <r>
    <n v="658"/>
    <n v="12"/>
    <n v="3"/>
    <n v="2023"/>
    <d v="2023-03-12T00:00:00"/>
    <s v="CUST658"/>
    <x v="0"/>
    <x v="2"/>
    <n v="59"/>
    <x v="1"/>
    <n v="1"/>
    <n v="25"/>
    <n v="25"/>
    <n v="0.375"/>
    <n v="0.5"/>
  </r>
  <r>
    <n v="659"/>
    <n v="19"/>
    <n v="3"/>
    <n v="2023"/>
    <d v="2023-03-19T00:00:00"/>
    <s v="CUST659"/>
    <x v="1"/>
    <x v="0"/>
    <n v="39"/>
    <x v="2"/>
    <n v="1"/>
    <n v="30"/>
    <n v="30"/>
    <n v="0.44999999999999996"/>
    <n v="0.6"/>
  </r>
  <r>
    <n v="660"/>
    <n v="29"/>
    <n v="4"/>
    <n v="2023"/>
    <d v="2023-04-29T00:00:00"/>
    <s v="CUST660"/>
    <x v="1"/>
    <x v="0"/>
    <n v="38"/>
    <x v="0"/>
    <n v="2"/>
    <n v="500"/>
    <n v="1000"/>
    <n v="15"/>
    <n v="20"/>
  </r>
  <r>
    <n v="661"/>
    <n v="16"/>
    <n v="7"/>
    <n v="2023"/>
    <d v="2023-07-16T00:00:00"/>
    <s v="CUST661"/>
    <x v="1"/>
    <x v="0"/>
    <n v="44"/>
    <x v="1"/>
    <n v="4"/>
    <n v="25"/>
    <n v="100"/>
    <n v="1.5"/>
    <n v="2"/>
  </r>
  <r>
    <n v="662"/>
    <n v="22"/>
    <n v="12"/>
    <n v="2023"/>
    <d v="2023-12-22T00:00:00"/>
    <s v="CUST662"/>
    <x v="0"/>
    <x v="0"/>
    <n v="48"/>
    <x v="0"/>
    <n v="2"/>
    <n v="500"/>
    <n v="1000"/>
    <n v="15"/>
    <n v="20"/>
  </r>
  <r>
    <n v="663"/>
    <n v="20"/>
    <n v="3"/>
    <n v="2023"/>
    <d v="2023-03-20T00:00:00"/>
    <s v="CUST663"/>
    <x v="0"/>
    <x v="1"/>
    <n v="23"/>
    <x v="1"/>
    <n v="4"/>
    <n v="300"/>
    <n v="1200"/>
    <n v="18"/>
    <n v="24"/>
  </r>
  <r>
    <n v="664"/>
    <n v="28"/>
    <n v="12"/>
    <n v="2023"/>
    <d v="2023-12-28T00:00:00"/>
    <s v="CUST664"/>
    <x v="1"/>
    <x v="0"/>
    <n v="44"/>
    <x v="1"/>
    <n v="4"/>
    <n v="500"/>
    <n v="2000"/>
    <n v="30"/>
    <n v="40"/>
  </r>
  <r>
    <n v="665"/>
    <n v="20"/>
    <n v="4"/>
    <n v="2023"/>
    <d v="2023-04-20T00:00:00"/>
    <s v="CUST665"/>
    <x v="0"/>
    <x v="2"/>
    <n v="57"/>
    <x v="1"/>
    <n v="1"/>
    <n v="50"/>
    <n v="50"/>
    <n v="0.75"/>
    <n v="1"/>
  </r>
  <r>
    <n v="666"/>
    <n v="2"/>
    <n v="2"/>
    <n v="2023"/>
    <d v="2023-02-02T00:00:00"/>
    <s v="CUST666"/>
    <x v="0"/>
    <x v="2"/>
    <n v="51"/>
    <x v="2"/>
    <n v="3"/>
    <n v="50"/>
    <n v="150"/>
    <n v="2.25"/>
    <n v="3"/>
  </r>
  <r>
    <n v="667"/>
    <n v="1"/>
    <n v="8"/>
    <n v="2023"/>
    <d v="2023-08-01T00:00:00"/>
    <s v="CUST667"/>
    <x v="1"/>
    <x v="1"/>
    <n v="29"/>
    <x v="2"/>
    <n v="1"/>
    <n v="500"/>
    <n v="500"/>
    <n v="7.5"/>
    <n v="10"/>
  </r>
  <r>
    <n v="668"/>
    <n v="28"/>
    <n v="7"/>
    <n v="2023"/>
    <d v="2023-07-28T00:00:00"/>
    <s v="CUST668"/>
    <x v="1"/>
    <x v="2"/>
    <n v="62"/>
    <x v="2"/>
    <n v="3"/>
    <n v="50"/>
    <n v="150"/>
    <n v="2.25"/>
    <n v="3"/>
  </r>
  <r>
    <n v="669"/>
    <n v="19"/>
    <n v="6"/>
    <n v="2023"/>
    <d v="2023-06-19T00:00:00"/>
    <s v="CUST669"/>
    <x v="0"/>
    <x v="1"/>
    <n v="24"/>
    <x v="0"/>
    <n v="4"/>
    <n v="300"/>
    <n v="1200"/>
    <n v="18"/>
    <n v="24"/>
  </r>
  <r>
    <n v="670"/>
    <n v="5"/>
    <n v="10"/>
    <n v="2023"/>
    <d v="2023-10-05T00:00:00"/>
    <s v="CUST670"/>
    <x v="0"/>
    <x v="1"/>
    <n v="27"/>
    <x v="0"/>
    <n v="1"/>
    <n v="30"/>
    <n v="30"/>
    <n v="0.44999999999999996"/>
    <n v="0.6"/>
  </r>
  <r>
    <n v="671"/>
    <n v="27"/>
    <n v="8"/>
    <n v="2023"/>
    <d v="2023-08-27T00:00:00"/>
    <s v="CUST671"/>
    <x v="0"/>
    <x v="2"/>
    <n v="62"/>
    <x v="2"/>
    <n v="3"/>
    <n v="50"/>
    <n v="150"/>
    <n v="2.25"/>
    <n v="3"/>
  </r>
  <r>
    <n v="672"/>
    <n v="1"/>
    <n v="8"/>
    <n v="2023"/>
    <d v="2023-08-01T00:00:00"/>
    <s v="CUST672"/>
    <x v="1"/>
    <x v="0"/>
    <n v="34"/>
    <x v="0"/>
    <n v="2"/>
    <n v="50"/>
    <n v="100"/>
    <n v="1.5"/>
    <n v="2"/>
  </r>
  <r>
    <n v="673"/>
    <n v="1"/>
    <n v="2"/>
    <n v="2023"/>
    <d v="2023-02-01T00:00:00"/>
    <s v="CUST673"/>
    <x v="1"/>
    <x v="0"/>
    <n v="43"/>
    <x v="1"/>
    <n v="3"/>
    <n v="500"/>
    <n v="1500"/>
    <n v="22.5"/>
    <n v="30"/>
  </r>
  <r>
    <n v="674"/>
    <n v="16"/>
    <n v="4"/>
    <n v="2023"/>
    <d v="2023-04-16T00:00:00"/>
    <s v="CUST674"/>
    <x v="1"/>
    <x v="0"/>
    <n v="38"/>
    <x v="1"/>
    <n v="1"/>
    <n v="300"/>
    <n v="300"/>
    <n v="4.5"/>
    <n v="6"/>
  </r>
  <r>
    <n v="675"/>
    <n v="4"/>
    <n v="8"/>
    <n v="2023"/>
    <d v="2023-08-04T00:00:00"/>
    <s v="CUST675"/>
    <x v="1"/>
    <x v="0"/>
    <n v="45"/>
    <x v="1"/>
    <n v="2"/>
    <n v="30"/>
    <n v="60"/>
    <n v="0.89999999999999991"/>
    <n v="1.2"/>
  </r>
  <r>
    <n v="676"/>
    <n v="19"/>
    <n v="7"/>
    <n v="2023"/>
    <d v="2023-07-19T00:00:00"/>
    <s v="CUST676"/>
    <x v="0"/>
    <x v="2"/>
    <n v="63"/>
    <x v="2"/>
    <n v="3"/>
    <n v="500"/>
    <n v="1500"/>
    <n v="22.5"/>
    <n v="30"/>
  </r>
  <r>
    <n v="677"/>
    <n v="27"/>
    <n v="10"/>
    <n v="2023"/>
    <d v="2023-10-27T00:00:00"/>
    <s v="CUST677"/>
    <x v="1"/>
    <x v="1"/>
    <n v="19"/>
    <x v="0"/>
    <n v="3"/>
    <n v="500"/>
    <n v="1500"/>
    <n v="22.5"/>
    <n v="30"/>
  </r>
  <r>
    <n v="678"/>
    <n v="23"/>
    <n v="12"/>
    <n v="2023"/>
    <d v="2023-12-23T00:00:00"/>
    <s v="CUST678"/>
    <x v="1"/>
    <x v="2"/>
    <n v="60"/>
    <x v="2"/>
    <n v="3"/>
    <n v="300"/>
    <n v="900"/>
    <n v="13.5"/>
    <n v="18"/>
  </r>
  <r>
    <n v="679"/>
    <n v="11"/>
    <n v="1"/>
    <n v="2023"/>
    <d v="2023-01-11T00:00:00"/>
    <s v="CUST679"/>
    <x v="1"/>
    <x v="1"/>
    <n v="18"/>
    <x v="0"/>
    <n v="3"/>
    <n v="30"/>
    <n v="90"/>
    <n v="1.3499999999999999"/>
    <n v="1.8"/>
  </r>
  <r>
    <n v="680"/>
    <n v="22"/>
    <n v="10"/>
    <n v="2023"/>
    <d v="2023-10-22T00:00:00"/>
    <s v="CUST680"/>
    <x v="1"/>
    <x v="2"/>
    <n v="53"/>
    <x v="1"/>
    <n v="3"/>
    <n v="300"/>
    <n v="900"/>
    <n v="13.5"/>
    <n v="18"/>
  </r>
  <r>
    <n v="681"/>
    <n v="14"/>
    <n v="7"/>
    <n v="2023"/>
    <d v="2023-07-14T00:00:00"/>
    <s v="CUST681"/>
    <x v="1"/>
    <x v="0"/>
    <n v="43"/>
    <x v="2"/>
    <n v="2"/>
    <n v="30"/>
    <n v="60"/>
    <n v="0.89999999999999991"/>
    <n v="1.2"/>
  </r>
  <r>
    <n v="682"/>
    <n v="2"/>
    <n v="9"/>
    <n v="2023"/>
    <d v="2023-09-02T00:00:00"/>
    <s v="CUST682"/>
    <x v="0"/>
    <x v="0"/>
    <n v="46"/>
    <x v="0"/>
    <n v="4"/>
    <n v="300"/>
    <n v="1200"/>
    <n v="18"/>
    <n v="24"/>
  </r>
  <r>
    <n v="683"/>
    <n v="4"/>
    <n v="1"/>
    <n v="2023"/>
    <d v="2023-01-04T00:00:00"/>
    <s v="CUST683"/>
    <x v="0"/>
    <x v="0"/>
    <n v="38"/>
    <x v="0"/>
    <n v="2"/>
    <n v="500"/>
    <n v="1000"/>
    <n v="15"/>
    <n v="20"/>
  </r>
  <r>
    <n v="684"/>
    <n v="30"/>
    <n v="6"/>
    <n v="2023"/>
    <d v="2023-06-30T00:00:00"/>
    <s v="CUST684"/>
    <x v="1"/>
    <x v="1"/>
    <n v="28"/>
    <x v="1"/>
    <n v="2"/>
    <n v="500"/>
    <n v="1000"/>
    <n v="15"/>
    <n v="20"/>
  </r>
  <r>
    <n v="685"/>
    <n v="2"/>
    <n v="6"/>
    <n v="2023"/>
    <d v="2023-06-02T00:00:00"/>
    <s v="CUST685"/>
    <x v="0"/>
    <x v="2"/>
    <n v="57"/>
    <x v="2"/>
    <n v="2"/>
    <n v="25"/>
    <n v="50"/>
    <n v="0.75"/>
    <n v="1"/>
  </r>
  <r>
    <n v="686"/>
    <n v="19"/>
    <n v="7"/>
    <n v="2023"/>
    <d v="2023-07-19T00:00:00"/>
    <s v="CUST686"/>
    <x v="1"/>
    <x v="1"/>
    <n v="28"/>
    <x v="2"/>
    <n v="4"/>
    <n v="50"/>
    <n v="200"/>
    <n v="3"/>
    <n v="4"/>
  </r>
  <r>
    <n v="687"/>
    <n v="3"/>
    <n v="8"/>
    <n v="2023"/>
    <d v="2023-08-03T00:00:00"/>
    <s v="CUST687"/>
    <x v="1"/>
    <x v="2"/>
    <n v="53"/>
    <x v="2"/>
    <n v="1"/>
    <n v="300"/>
    <n v="300"/>
    <n v="4.5"/>
    <n v="6"/>
  </r>
  <r>
    <n v="688"/>
    <n v="3"/>
    <n v="10"/>
    <n v="2023"/>
    <d v="2023-10-03T00:00:00"/>
    <s v="CUST688"/>
    <x v="0"/>
    <x v="2"/>
    <n v="56"/>
    <x v="1"/>
    <n v="4"/>
    <n v="25"/>
    <n v="100"/>
    <n v="1.5"/>
    <n v="2"/>
  </r>
  <r>
    <n v="689"/>
    <n v="7"/>
    <n v="10"/>
    <n v="2023"/>
    <d v="2023-10-07T00:00:00"/>
    <s v="CUST689"/>
    <x v="0"/>
    <x v="2"/>
    <n v="57"/>
    <x v="2"/>
    <n v="2"/>
    <n v="50"/>
    <n v="100"/>
    <n v="1.5"/>
    <n v="2"/>
  </r>
  <r>
    <n v="690"/>
    <n v="5"/>
    <n v="11"/>
    <n v="2023"/>
    <d v="2023-11-05T00:00:00"/>
    <s v="CUST690"/>
    <x v="1"/>
    <x v="2"/>
    <n v="52"/>
    <x v="1"/>
    <n v="3"/>
    <n v="300"/>
    <n v="900"/>
    <n v="13.5"/>
    <n v="18"/>
  </r>
  <r>
    <n v="691"/>
    <n v="23"/>
    <n v="4"/>
    <n v="2023"/>
    <d v="2023-04-23T00:00:00"/>
    <s v="CUST691"/>
    <x v="1"/>
    <x v="2"/>
    <n v="51"/>
    <x v="1"/>
    <n v="3"/>
    <n v="30"/>
    <n v="90"/>
    <n v="1.3499999999999999"/>
    <n v="1.8"/>
  </r>
  <r>
    <n v="692"/>
    <n v="7"/>
    <n v="9"/>
    <n v="2023"/>
    <d v="2023-09-07T00:00:00"/>
    <s v="CUST692"/>
    <x v="1"/>
    <x v="2"/>
    <n v="64"/>
    <x v="1"/>
    <n v="2"/>
    <n v="50"/>
    <n v="100"/>
    <n v="1.5"/>
    <n v="2"/>
  </r>
  <r>
    <n v="693"/>
    <n v="23"/>
    <n v="4"/>
    <n v="2023"/>
    <d v="2023-04-23T00:00:00"/>
    <s v="CUST693"/>
    <x v="0"/>
    <x v="0"/>
    <n v="41"/>
    <x v="0"/>
    <n v="3"/>
    <n v="500"/>
    <n v="1500"/>
    <n v="22.5"/>
    <n v="30"/>
  </r>
  <r>
    <n v="694"/>
    <n v="20"/>
    <n v="5"/>
    <n v="2023"/>
    <d v="2023-05-20T00:00:00"/>
    <s v="CUST694"/>
    <x v="1"/>
    <x v="0"/>
    <n v="39"/>
    <x v="2"/>
    <n v="2"/>
    <n v="25"/>
    <n v="50"/>
    <n v="0.75"/>
    <n v="1"/>
  </r>
  <r>
    <n v="695"/>
    <n v="12"/>
    <n v="8"/>
    <n v="2023"/>
    <d v="2023-08-12T00:00:00"/>
    <s v="CUST695"/>
    <x v="1"/>
    <x v="1"/>
    <n v="22"/>
    <x v="2"/>
    <n v="3"/>
    <n v="50"/>
    <n v="150"/>
    <n v="2.25"/>
    <n v="3"/>
  </r>
  <r>
    <n v="696"/>
    <n v="6"/>
    <n v="9"/>
    <n v="2023"/>
    <d v="2023-09-06T00:00:00"/>
    <s v="CUST696"/>
    <x v="1"/>
    <x v="2"/>
    <n v="50"/>
    <x v="1"/>
    <n v="4"/>
    <n v="50"/>
    <n v="200"/>
    <n v="3"/>
    <n v="4"/>
  </r>
  <r>
    <n v="697"/>
    <n v="15"/>
    <n v="1"/>
    <n v="2023"/>
    <d v="2023-01-15T00:00:00"/>
    <s v="CUST697"/>
    <x v="0"/>
    <x v="2"/>
    <n v="53"/>
    <x v="1"/>
    <n v="1"/>
    <n v="500"/>
    <n v="500"/>
    <n v="7.5"/>
    <n v="10"/>
  </r>
  <r>
    <n v="698"/>
    <n v="19"/>
    <n v="7"/>
    <n v="2023"/>
    <d v="2023-07-19T00:00:00"/>
    <s v="CUST698"/>
    <x v="1"/>
    <x v="2"/>
    <n v="64"/>
    <x v="2"/>
    <n v="1"/>
    <n v="300"/>
    <n v="300"/>
    <n v="4.5"/>
    <n v="6"/>
  </r>
  <r>
    <n v="699"/>
    <n v="22"/>
    <n v="6"/>
    <n v="2023"/>
    <d v="2023-06-22T00:00:00"/>
    <s v="CUST699"/>
    <x v="1"/>
    <x v="0"/>
    <n v="37"/>
    <x v="1"/>
    <n v="4"/>
    <n v="30"/>
    <n v="120"/>
    <n v="1.7999999999999998"/>
    <n v="2.4"/>
  </r>
  <r>
    <n v="700"/>
    <n v="9"/>
    <n v="12"/>
    <n v="2023"/>
    <d v="2023-12-09T00:00:00"/>
    <s v="CUST700"/>
    <x v="0"/>
    <x v="0"/>
    <n v="36"/>
    <x v="2"/>
    <n v="4"/>
    <n v="500"/>
    <n v="2000"/>
    <n v="30"/>
    <n v="40"/>
  </r>
  <r>
    <n v="701"/>
    <n v="14"/>
    <n v="12"/>
    <n v="2023"/>
    <d v="2023-12-14T00:00:00"/>
    <s v="CUST701"/>
    <x v="1"/>
    <x v="2"/>
    <n v="52"/>
    <x v="0"/>
    <n v="2"/>
    <n v="30"/>
    <n v="60"/>
    <n v="0.89999999999999991"/>
    <n v="1.2"/>
  </r>
  <r>
    <n v="702"/>
    <n v="27"/>
    <n v="7"/>
    <n v="2023"/>
    <d v="2023-07-27T00:00:00"/>
    <s v="CUST702"/>
    <x v="1"/>
    <x v="2"/>
    <n v="60"/>
    <x v="1"/>
    <n v="2"/>
    <n v="300"/>
    <n v="600"/>
    <n v="9"/>
    <n v="12"/>
  </r>
  <r>
    <n v="703"/>
    <n v="26"/>
    <n v="3"/>
    <n v="2023"/>
    <d v="2023-03-26T00:00:00"/>
    <s v="CUST703"/>
    <x v="0"/>
    <x v="0"/>
    <n v="34"/>
    <x v="2"/>
    <n v="2"/>
    <n v="50"/>
    <n v="100"/>
    <n v="1.5"/>
    <n v="2"/>
  </r>
  <r>
    <n v="704"/>
    <n v="28"/>
    <n v="8"/>
    <n v="2023"/>
    <d v="2023-08-28T00:00:00"/>
    <s v="CUST704"/>
    <x v="1"/>
    <x v="2"/>
    <n v="62"/>
    <x v="1"/>
    <n v="3"/>
    <n v="30"/>
    <n v="90"/>
    <n v="1.3499999999999999"/>
    <n v="1.8"/>
  </r>
  <r>
    <n v="705"/>
    <n v="7"/>
    <n v="3"/>
    <n v="2023"/>
    <d v="2023-03-07T00:00:00"/>
    <s v="CUST705"/>
    <x v="0"/>
    <x v="2"/>
    <n v="60"/>
    <x v="2"/>
    <n v="2"/>
    <n v="25"/>
    <n v="50"/>
    <n v="0.75"/>
    <n v="1"/>
  </r>
  <r>
    <n v="706"/>
    <n v="15"/>
    <n v="11"/>
    <n v="2023"/>
    <d v="2023-11-15T00:00:00"/>
    <s v="CUST706"/>
    <x v="0"/>
    <x v="2"/>
    <n v="51"/>
    <x v="2"/>
    <n v="4"/>
    <n v="25"/>
    <n v="100"/>
    <n v="1.5"/>
    <n v="2"/>
  </r>
  <r>
    <n v="707"/>
    <n v="1"/>
    <n v="10"/>
    <n v="2023"/>
    <d v="2023-10-01T00:00:00"/>
    <s v="CUST707"/>
    <x v="1"/>
    <x v="1"/>
    <n v="26"/>
    <x v="1"/>
    <n v="1"/>
    <n v="500"/>
    <n v="500"/>
    <n v="7.5"/>
    <n v="10"/>
  </r>
  <r>
    <n v="708"/>
    <n v="14"/>
    <n v="1"/>
    <n v="2023"/>
    <d v="2023-01-14T00:00:00"/>
    <s v="CUST708"/>
    <x v="1"/>
    <x v="0"/>
    <n v="43"/>
    <x v="0"/>
    <n v="3"/>
    <n v="300"/>
    <n v="900"/>
    <n v="13.5"/>
    <n v="18"/>
  </r>
  <r>
    <n v="709"/>
    <n v="21"/>
    <n v="7"/>
    <n v="2023"/>
    <d v="2023-07-21T00:00:00"/>
    <s v="CUST709"/>
    <x v="1"/>
    <x v="1"/>
    <n v="19"/>
    <x v="2"/>
    <n v="2"/>
    <n v="500"/>
    <n v="1000"/>
    <n v="15"/>
    <n v="20"/>
  </r>
  <r>
    <n v="710"/>
    <n v="31"/>
    <n v="10"/>
    <n v="2023"/>
    <d v="2023-10-31T00:00:00"/>
    <s v="CUST710"/>
    <x v="1"/>
    <x v="1"/>
    <n v="26"/>
    <x v="2"/>
    <n v="3"/>
    <n v="500"/>
    <n v="1500"/>
    <n v="22.5"/>
    <n v="30"/>
  </r>
  <r>
    <n v="711"/>
    <n v="16"/>
    <n v="10"/>
    <n v="2023"/>
    <d v="2023-10-16T00:00:00"/>
    <s v="CUST711"/>
    <x v="0"/>
    <x v="1"/>
    <n v="26"/>
    <x v="2"/>
    <n v="3"/>
    <n v="500"/>
    <n v="1500"/>
    <n v="22.5"/>
    <n v="30"/>
  </r>
  <r>
    <n v="712"/>
    <n v="6"/>
    <n v="12"/>
    <n v="2023"/>
    <d v="2023-12-06T00:00:00"/>
    <s v="CUST712"/>
    <x v="1"/>
    <x v="2"/>
    <n v="57"/>
    <x v="0"/>
    <n v="2"/>
    <n v="25"/>
    <n v="50"/>
    <n v="0.75"/>
    <n v="1"/>
  </r>
  <r>
    <n v="713"/>
    <n v="14"/>
    <n v="1"/>
    <n v="2023"/>
    <d v="2023-01-14T00:00:00"/>
    <s v="CUST713"/>
    <x v="0"/>
    <x v="0"/>
    <n v="34"/>
    <x v="0"/>
    <n v="3"/>
    <n v="25"/>
    <n v="75"/>
    <n v="1.125"/>
    <n v="1.5"/>
  </r>
  <r>
    <n v="714"/>
    <n v="12"/>
    <n v="2"/>
    <n v="2023"/>
    <d v="2023-02-12T00:00:00"/>
    <s v="CUST714"/>
    <x v="1"/>
    <x v="1"/>
    <n v="18"/>
    <x v="1"/>
    <n v="1"/>
    <n v="500"/>
    <n v="500"/>
    <n v="7.5"/>
    <n v="10"/>
  </r>
  <r>
    <n v="715"/>
    <n v="26"/>
    <n v="11"/>
    <n v="2023"/>
    <d v="2023-11-26T00:00:00"/>
    <s v="CUST715"/>
    <x v="1"/>
    <x v="0"/>
    <n v="42"/>
    <x v="0"/>
    <n v="4"/>
    <n v="25"/>
    <n v="100"/>
    <n v="1.5"/>
    <n v="2"/>
  </r>
  <r>
    <n v="716"/>
    <n v="8"/>
    <n v="8"/>
    <n v="2023"/>
    <d v="2023-08-08T00:00:00"/>
    <s v="CUST716"/>
    <x v="1"/>
    <x v="2"/>
    <n v="60"/>
    <x v="1"/>
    <n v="4"/>
    <n v="300"/>
    <n v="1200"/>
    <n v="18"/>
    <n v="24"/>
  </r>
  <r>
    <n v="717"/>
    <n v="11"/>
    <n v="3"/>
    <n v="2023"/>
    <d v="2023-03-11T00:00:00"/>
    <s v="CUST717"/>
    <x v="0"/>
    <x v="2"/>
    <n v="57"/>
    <x v="1"/>
    <n v="1"/>
    <n v="500"/>
    <n v="500"/>
    <n v="7.5"/>
    <n v="10"/>
  </r>
  <r>
    <n v="718"/>
    <n v="25"/>
    <n v="8"/>
    <n v="2023"/>
    <d v="2023-08-25T00:00:00"/>
    <s v="CUST718"/>
    <x v="1"/>
    <x v="2"/>
    <n v="59"/>
    <x v="0"/>
    <n v="3"/>
    <n v="25"/>
    <n v="75"/>
    <n v="1.125"/>
    <n v="1.5"/>
  </r>
  <r>
    <n v="719"/>
    <n v="4"/>
    <n v="4"/>
    <n v="2023"/>
    <d v="2023-04-04T00:00:00"/>
    <s v="CUST719"/>
    <x v="1"/>
    <x v="0"/>
    <n v="42"/>
    <x v="1"/>
    <n v="2"/>
    <n v="30"/>
    <n v="60"/>
    <n v="0.89999999999999991"/>
    <n v="1.2"/>
  </r>
  <r>
    <n v="720"/>
    <n v="26"/>
    <n v="1"/>
    <n v="2023"/>
    <d v="2023-01-26T00:00:00"/>
    <s v="CUST720"/>
    <x v="1"/>
    <x v="2"/>
    <n v="56"/>
    <x v="0"/>
    <n v="3"/>
    <n v="500"/>
    <n v="1500"/>
    <n v="22.5"/>
    <n v="30"/>
  </r>
  <r>
    <n v="721"/>
    <n v="14"/>
    <n v="5"/>
    <n v="2023"/>
    <d v="2023-05-14T00:00:00"/>
    <s v="CUST721"/>
    <x v="1"/>
    <x v="2"/>
    <n v="52"/>
    <x v="1"/>
    <n v="1"/>
    <n v="500"/>
    <n v="500"/>
    <n v="7.5"/>
    <n v="10"/>
  </r>
  <r>
    <n v="722"/>
    <n v="14"/>
    <n v="7"/>
    <n v="2023"/>
    <d v="2023-07-14T00:00:00"/>
    <s v="CUST722"/>
    <x v="0"/>
    <x v="1"/>
    <n v="20"/>
    <x v="0"/>
    <n v="3"/>
    <n v="300"/>
    <n v="900"/>
    <n v="13.5"/>
    <n v="18"/>
  </r>
  <r>
    <n v="723"/>
    <n v="17"/>
    <n v="6"/>
    <n v="2023"/>
    <d v="2023-06-17T00:00:00"/>
    <s v="CUST723"/>
    <x v="1"/>
    <x v="2"/>
    <n v="54"/>
    <x v="0"/>
    <n v="4"/>
    <n v="50"/>
    <n v="200"/>
    <n v="3"/>
    <n v="4"/>
  </r>
  <r>
    <n v="724"/>
    <n v="19"/>
    <n v="4"/>
    <n v="2023"/>
    <d v="2023-04-19T00:00:00"/>
    <s v="CUST724"/>
    <x v="0"/>
    <x v="2"/>
    <n v="61"/>
    <x v="1"/>
    <n v="3"/>
    <n v="50"/>
    <n v="150"/>
    <n v="2.25"/>
    <n v="3"/>
  </r>
  <r>
    <n v="725"/>
    <n v="21"/>
    <n v="8"/>
    <n v="2023"/>
    <d v="2023-08-21T00:00:00"/>
    <s v="CUST725"/>
    <x v="0"/>
    <x v="2"/>
    <n v="61"/>
    <x v="2"/>
    <n v="1"/>
    <n v="300"/>
    <n v="300"/>
    <n v="4.5"/>
    <n v="6"/>
  </r>
  <r>
    <n v="726"/>
    <n v="17"/>
    <n v="6"/>
    <n v="2023"/>
    <d v="2023-06-17T00:00:00"/>
    <s v="CUST726"/>
    <x v="0"/>
    <x v="0"/>
    <n v="47"/>
    <x v="1"/>
    <n v="4"/>
    <n v="300"/>
    <n v="1200"/>
    <n v="18"/>
    <n v="24"/>
  </r>
  <r>
    <n v="727"/>
    <n v="22"/>
    <n v="6"/>
    <n v="2023"/>
    <d v="2023-06-22T00:00:00"/>
    <s v="CUST727"/>
    <x v="0"/>
    <x v="2"/>
    <n v="55"/>
    <x v="0"/>
    <n v="3"/>
    <n v="300"/>
    <n v="900"/>
    <n v="13.5"/>
    <n v="18"/>
  </r>
  <r>
    <n v="728"/>
    <n v="14"/>
    <n v="7"/>
    <n v="2023"/>
    <d v="2023-07-14T00:00:00"/>
    <s v="CUST728"/>
    <x v="0"/>
    <x v="2"/>
    <n v="51"/>
    <x v="2"/>
    <n v="3"/>
    <n v="50"/>
    <n v="150"/>
    <n v="2.25"/>
    <n v="3"/>
  </r>
  <r>
    <n v="729"/>
    <n v="23"/>
    <n v="5"/>
    <n v="2023"/>
    <d v="2023-05-23T00:00:00"/>
    <s v="CUST729"/>
    <x v="0"/>
    <x v="1"/>
    <n v="29"/>
    <x v="1"/>
    <n v="4"/>
    <n v="300"/>
    <n v="1200"/>
    <n v="18"/>
    <n v="24"/>
  </r>
  <r>
    <n v="730"/>
    <n v="4"/>
    <n v="8"/>
    <n v="2023"/>
    <d v="2023-08-04T00:00:00"/>
    <s v="CUST730"/>
    <x v="1"/>
    <x v="0"/>
    <n v="36"/>
    <x v="1"/>
    <n v="2"/>
    <n v="25"/>
    <n v="50"/>
    <n v="0.75"/>
    <n v="1"/>
  </r>
  <r>
    <n v="731"/>
    <n v="10"/>
    <n v="5"/>
    <n v="2023"/>
    <d v="2023-05-10T00:00:00"/>
    <s v="CUST731"/>
    <x v="0"/>
    <x v="2"/>
    <n v="54"/>
    <x v="1"/>
    <n v="4"/>
    <n v="500"/>
    <n v="2000"/>
    <n v="30"/>
    <n v="40"/>
  </r>
  <r>
    <n v="732"/>
    <n v="11"/>
    <n v="2"/>
    <n v="2023"/>
    <d v="2023-02-11T00:00:00"/>
    <s v="CUST732"/>
    <x v="0"/>
    <x v="2"/>
    <n v="61"/>
    <x v="2"/>
    <n v="2"/>
    <n v="500"/>
    <n v="1000"/>
    <n v="15"/>
    <n v="20"/>
  </r>
  <r>
    <n v="733"/>
    <n v="29"/>
    <n v="8"/>
    <n v="2023"/>
    <d v="2023-08-29T00:00:00"/>
    <s v="CUST733"/>
    <x v="0"/>
    <x v="0"/>
    <n v="34"/>
    <x v="0"/>
    <n v="1"/>
    <n v="30"/>
    <n v="30"/>
    <n v="0.44999999999999996"/>
    <n v="0.6"/>
  </r>
  <r>
    <n v="734"/>
    <n v="10"/>
    <n v="1"/>
    <n v="2023"/>
    <d v="2023-01-10T00:00:00"/>
    <s v="CUST734"/>
    <x v="1"/>
    <x v="1"/>
    <n v="27"/>
    <x v="1"/>
    <n v="1"/>
    <n v="30"/>
    <n v="30"/>
    <n v="0.44999999999999996"/>
    <n v="0.6"/>
  </r>
  <r>
    <n v="735"/>
    <n v="4"/>
    <n v="10"/>
    <n v="2023"/>
    <d v="2023-10-04T00:00:00"/>
    <s v="CUST735"/>
    <x v="1"/>
    <x v="2"/>
    <n v="64"/>
    <x v="1"/>
    <n v="4"/>
    <n v="500"/>
    <n v="2000"/>
    <n v="30"/>
    <n v="40"/>
  </r>
  <r>
    <n v="736"/>
    <n v="27"/>
    <n v="1"/>
    <n v="2023"/>
    <d v="2023-01-27T00:00:00"/>
    <s v="CUST736"/>
    <x v="0"/>
    <x v="1"/>
    <n v="29"/>
    <x v="1"/>
    <n v="4"/>
    <n v="25"/>
    <n v="100"/>
    <n v="1.5"/>
    <n v="2"/>
  </r>
  <r>
    <n v="737"/>
    <n v="29"/>
    <n v="6"/>
    <n v="2023"/>
    <d v="2023-06-29T00:00:00"/>
    <s v="CUST737"/>
    <x v="1"/>
    <x v="0"/>
    <n v="33"/>
    <x v="1"/>
    <n v="1"/>
    <n v="50"/>
    <n v="50"/>
    <n v="0.75"/>
    <n v="1"/>
  </r>
  <r>
    <n v="738"/>
    <n v="25"/>
    <n v="4"/>
    <n v="2023"/>
    <d v="2023-04-25T00:00:00"/>
    <s v="CUST738"/>
    <x v="0"/>
    <x v="0"/>
    <n v="41"/>
    <x v="1"/>
    <n v="2"/>
    <n v="50"/>
    <n v="100"/>
    <n v="1.5"/>
    <n v="2"/>
  </r>
  <r>
    <n v="739"/>
    <n v="29"/>
    <n v="11"/>
    <n v="2023"/>
    <d v="2023-11-29T00:00:00"/>
    <s v="CUST739"/>
    <x v="0"/>
    <x v="0"/>
    <n v="36"/>
    <x v="0"/>
    <n v="1"/>
    <n v="25"/>
    <n v="25"/>
    <n v="0.375"/>
    <n v="0.5"/>
  </r>
  <r>
    <n v="740"/>
    <n v="5"/>
    <n v="2"/>
    <n v="2023"/>
    <d v="2023-02-05T00:00:00"/>
    <s v="CUST740"/>
    <x v="1"/>
    <x v="1"/>
    <n v="25"/>
    <x v="0"/>
    <n v="4"/>
    <n v="50"/>
    <n v="200"/>
    <n v="3"/>
    <n v="4"/>
  </r>
  <r>
    <n v="741"/>
    <n v="30"/>
    <n v="11"/>
    <n v="2023"/>
    <d v="2023-11-30T00:00:00"/>
    <s v="CUST741"/>
    <x v="0"/>
    <x v="0"/>
    <n v="48"/>
    <x v="1"/>
    <n v="1"/>
    <n v="300"/>
    <n v="300"/>
    <n v="4.5"/>
    <n v="6"/>
  </r>
  <r>
    <n v="742"/>
    <n v="21"/>
    <n v="1"/>
    <n v="2023"/>
    <d v="2023-01-21T00:00:00"/>
    <s v="CUST742"/>
    <x v="1"/>
    <x v="0"/>
    <n v="38"/>
    <x v="2"/>
    <n v="4"/>
    <n v="500"/>
    <n v="2000"/>
    <n v="30"/>
    <n v="40"/>
  </r>
  <r>
    <n v="743"/>
    <n v="16"/>
    <n v="1"/>
    <n v="2023"/>
    <d v="2023-01-16T00:00:00"/>
    <s v="CUST743"/>
    <x v="1"/>
    <x v="0"/>
    <n v="34"/>
    <x v="0"/>
    <n v="4"/>
    <n v="500"/>
    <n v="2000"/>
    <n v="30"/>
    <n v="40"/>
  </r>
  <r>
    <n v="744"/>
    <n v="7"/>
    <n v="5"/>
    <n v="2023"/>
    <d v="2023-05-07T00:00:00"/>
    <s v="CUST744"/>
    <x v="0"/>
    <x v="0"/>
    <n v="40"/>
    <x v="2"/>
    <n v="1"/>
    <n v="25"/>
    <n v="25"/>
    <n v="0.375"/>
    <n v="0.5"/>
  </r>
  <r>
    <n v="745"/>
    <n v="13"/>
    <n v="4"/>
    <n v="2023"/>
    <d v="2023-04-13T00:00:00"/>
    <s v="CUST745"/>
    <x v="0"/>
    <x v="2"/>
    <n v="54"/>
    <x v="0"/>
    <n v="2"/>
    <n v="50"/>
    <n v="100"/>
    <n v="1.5"/>
    <n v="2"/>
  </r>
  <r>
    <n v="746"/>
    <n v="11"/>
    <n v="1"/>
    <n v="2023"/>
    <d v="2023-01-11T00:00:00"/>
    <s v="CUST746"/>
    <x v="1"/>
    <x v="0"/>
    <n v="33"/>
    <x v="1"/>
    <n v="3"/>
    <n v="30"/>
    <n v="90"/>
    <n v="1.3499999999999999"/>
    <n v="1.8"/>
  </r>
  <r>
    <n v="747"/>
    <n v="15"/>
    <n v="11"/>
    <n v="2023"/>
    <d v="2023-11-15T00:00:00"/>
    <s v="CUST747"/>
    <x v="0"/>
    <x v="1"/>
    <n v="23"/>
    <x v="0"/>
    <n v="1"/>
    <n v="30"/>
    <n v="30"/>
    <n v="0.44999999999999996"/>
    <n v="0.6"/>
  </r>
  <r>
    <n v="748"/>
    <n v="20"/>
    <n v="3"/>
    <n v="2023"/>
    <d v="2023-03-20T00:00:00"/>
    <s v="CUST748"/>
    <x v="0"/>
    <x v="1"/>
    <n v="25"/>
    <x v="1"/>
    <n v="3"/>
    <n v="50"/>
    <n v="150"/>
    <n v="2.25"/>
    <n v="3"/>
  </r>
  <r>
    <n v="749"/>
    <n v="3"/>
    <n v="5"/>
    <n v="2023"/>
    <d v="2023-05-03T00:00:00"/>
    <s v="CUST749"/>
    <x v="0"/>
    <x v="0"/>
    <n v="42"/>
    <x v="0"/>
    <n v="1"/>
    <n v="30"/>
    <n v="30"/>
    <n v="0.44999999999999996"/>
    <n v="0.6"/>
  </r>
  <r>
    <n v="750"/>
    <n v="6"/>
    <n v="3"/>
    <n v="2023"/>
    <d v="2023-03-06T00:00:00"/>
    <s v="CUST750"/>
    <x v="1"/>
    <x v="0"/>
    <n v="35"/>
    <x v="1"/>
    <n v="3"/>
    <n v="25"/>
    <n v="75"/>
    <n v="1.125"/>
    <n v="1.5"/>
  </r>
  <r>
    <n v="751"/>
    <n v="31"/>
    <n v="8"/>
    <n v="2023"/>
    <d v="2023-08-31T00:00:00"/>
    <s v="CUST751"/>
    <x v="1"/>
    <x v="0"/>
    <n v="42"/>
    <x v="1"/>
    <n v="2"/>
    <n v="25"/>
    <n v="50"/>
    <n v="0.75"/>
    <n v="1"/>
  </r>
  <r>
    <n v="752"/>
    <n v="9"/>
    <n v="12"/>
    <n v="2023"/>
    <d v="2023-12-09T00:00:00"/>
    <s v="CUST752"/>
    <x v="0"/>
    <x v="1"/>
    <n v="29"/>
    <x v="1"/>
    <n v="2"/>
    <n v="50"/>
    <n v="100"/>
    <n v="1.5"/>
    <n v="2"/>
  </r>
  <r>
    <n v="753"/>
    <n v="28"/>
    <n v="2"/>
    <n v="2023"/>
    <d v="2023-02-28T00:00:00"/>
    <s v="CUST753"/>
    <x v="1"/>
    <x v="0"/>
    <n v="32"/>
    <x v="1"/>
    <n v="1"/>
    <n v="30"/>
    <n v="30"/>
    <n v="0.44999999999999996"/>
    <n v="0.6"/>
  </r>
  <r>
    <n v="754"/>
    <n v="16"/>
    <n v="10"/>
    <n v="2023"/>
    <d v="2023-10-16T00:00:00"/>
    <s v="CUST754"/>
    <x v="1"/>
    <x v="0"/>
    <n v="43"/>
    <x v="2"/>
    <n v="4"/>
    <n v="25"/>
    <n v="100"/>
    <n v="1.5"/>
    <n v="2"/>
  </r>
  <r>
    <n v="755"/>
    <n v="22"/>
    <n v="4"/>
    <n v="2023"/>
    <d v="2023-04-22T00:00:00"/>
    <s v="CUST755"/>
    <x v="1"/>
    <x v="2"/>
    <n v="58"/>
    <x v="1"/>
    <n v="3"/>
    <n v="25"/>
    <n v="75"/>
    <n v="1.125"/>
    <n v="1.5"/>
  </r>
  <r>
    <n v="756"/>
    <n v="27"/>
    <n v="8"/>
    <n v="2023"/>
    <d v="2023-08-27T00:00:00"/>
    <s v="CUST756"/>
    <x v="1"/>
    <x v="2"/>
    <n v="62"/>
    <x v="2"/>
    <n v="4"/>
    <n v="300"/>
    <n v="1200"/>
    <n v="18"/>
    <n v="24"/>
  </r>
  <r>
    <n v="757"/>
    <n v="25"/>
    <n v="12"/>
    <n v="2023"/>
    <d v="2023-12-25T00:00:00"/>
    <s v="CUST757"/>
    <x v="1"/>
    <x v="0"/>
    <n v="43"/>
    <x v="2"/>
    <n v="4"/>
    <n v="300"/>
    <n v="1200"/>
    <n v="18"/>
    <n v="24"/>
  </r>
  <r>
    <n v="758"/>
    <n v="12"/>
    <n v="5"/>
    <n v="2023"/>
    <d v="2023-05-12T00:00:00"/>
    <s v="CUST758"/>
    <x v="0"/>
    <x v="2"/>
    <n v="64"/>
    <x v="1"/>
    <n v="4"/>
    <n v="25"/>
    <n v="100"/>
    <n v="1.5"/>
    <n v="2"/>
  </r>
  <r>
    <n v="759"/>
    <n v="8"/>
    <n v="7"/>
    <n v="2023"/>
    <d v="2023-07-08T00:00:00"/>
    <s v="CUST759"/>
    <x v="0"/>
    <x v="0"/>
    <n v="49"/>
    <x v="2"/>
    <n v="2"/>
    <n v="50"/>
    <n v="100"/>
    <n v="1.5"/>
    <n v="2"/>
  </r>
  <r>
    <n v="760"/>
    <n v="27"/>
    <n v="3"/>
    <n v="2023"/>
    <d v="2023-03-27T00:00:00"/>
    <s v="CUST760"/>
    <x v="0"/>
    <x v="1"/>
    <n v="27"/>
    <x v="0"/>
    <n v="1"/>
    <n v="500"/>
    <n v="500"/>
    <n v="7.5"/>
    <n v="10"/>
  </r>
  <r>
    <n v="761"/>
    <n v="7"/>
    <n v="11"/>
    <n v="2023"/>
    <d v="2023-11-07T00:00:00"/>
    <s v="CUST761"/>
    <x v="1"/>
    <x v="0"/>
    <n v="33"/>
    <x v="1"/>
    <n v="1"/>
    <n v="500"/>
    <n v="500"/>
    <n v="7.5"/>
    <n v="10"/>
  </r>
  <r>
    <n v="762"/>
    <n v="7"/>
    <n v="11"/>
    <n v="2023"/>
    <d v="2023-11-07T00:00:00"/>
    <s v="CUST762"/>
    <x v="1"/>
    <x v="1"/>
    <n v="24"/>
    <x v="2"/>
    <n v="2"/>
    <n v="25"/>
    <n v="50"/>
    <n v="0.75"/>
    <n v="1"/>
  </r>
  <r>
    <n v="763"/>
    <n v="28"/>
    <n v="2"/>
    <n v="2023"/>
    <d v="2023-02-28T00:00:00"/>
    <s v="CUST763"/>
    <x v="0"/>
    <x v="0"/>
    <n v="34"/>
    <x v="1"/>
    <n v="2"/>
    <n v="25"/>
    <n v="50"/>
    <n v="0.75"/>
    <n v="1"/>
  </r>
  <r>
    <n v="764"/>
    <n v="25"/>
    <n v="3"/>
    <n v="2023"/>
    <d v="2023-03-25T00:00:00"/>
    <s v="CUST764"/>
    <x v="1"/>
    <x v="0"/>
    <n v="40"/>
    <x v="1"/>
    <n v="1"/>
    <n v="25"/>
    <n v="25"/>
    <n v="0.375"/>
    <n v="0.5"/>
  </r>
  <r>
    <n v="765"/>
    <n v="9"/>
    <n v="6"/>
    <n v="2023"/>
    <d v="2023-06-09T00:00:00"/>
    <s v="CUST765"/>
    <x v="0"/>
    <x v="0"/>
    <n v="43"/>
    <x v="1"/>
    <n v="4"/>
    <n v="50"/>
    <n v="200"/>
    <n v="3"/>
    <n v="4"/>
  </r>
  <r>
    <n v="766"/>
    <n v="25"/>
    <n v="2"/>
    <n v="2023"/>
    <d v="2023-02-25T00:00:00"/>
    <s v="CUST766"/>
    <x v="0"/>
    <x v="0"/>
    <n v="38"/>
    <x v="2"/>
    <n v="3"/>
    <n v="300"/>
    <n v="900"/>
    <n v="13.5"/>
    <n v="18"/>
  </r>
  <r>
    <n v="767"/>
    <n v="24"/>
    <n v="10"/>
    <n v="2023"/>
    <d v="2023-10-24T00:00:00"/>
    <s v="CUST767"/>
    <x v="0"/>
    <x v="0"/>
    <n v="39"/>
    <x v="0"/>
    <n v="3"/>
    <n v="25"/>
    <n v="75"/>
    <n v="1.125"/>
    <n v="1.5"/>
  </r>
  <r>
    <n v="768"/>
    <n v="14"/>
    <n v="1"/>
    <n v="2023"/>
    <d v="2023-01-14T00:00:00"/>
    <s v="CUST768"/>
    <x v="1"/>
    <x v="1"/>
    <n v="24"/>
    <x v="0"/>
    <n v="3"/>
    <n v="25"/>
    <n v="75"/>
    <n v="1.125"/>
    <n v="1.5"/>
  </r>
  <r>
    <n v="769"/>
    <n v="9"/>
    <n v="6"/>
    <n v="2023"/>
    <d v="2023-06-09T00:00:00"/>
    <s v="CUST769"/>
    <x v="1"/>
    <x v="0"/>
    <n v="31"/>
    <x v="2"/>
    <n v="4"/>
    <n v="30"/>
    <n v="120"/>
    <n v="1.7999999999999998"/>
    <n v="2.4"/>
  </r>
  <r>
    <n v="770"/>
    <n v="22"/>
    <n v="10"/>
    <n v="2023"/>
    <d v="2023-10-22T00:00:00"/>
    <s v="CUST770"/>
    <x v="0"/>
    <x v="0"/>
    <n v="32"/>
    <x v="1"/>
    <n v="1"/>
    <n v="50"/>
    <n v="50"/>
    <n v="0.75"/>
    <n v="1"/>
  </r>
  <r>
    <n v="771"/>
    <n v="13"/>
    <n v="12"/>
    <n v="2023"/>
    <d v="2023-12-13T00:00:00"/>
    <s v="CUST771"/>
    <x v="0"/>
    <x v="1"/>
    <n v="24"/>
    <x v="2"/>
    <n v="2"/>
    <n v="25"/>
    <n v="50"/>
    <n v="0.75"/>
    <n v="1"/>
  </r>
  <r>
    <n v="772"/>
    <n v="12"/>
    <n v="7"/>
    <n v="2023"/>
    <d v="2023-07-12T00:00:00"/>
    <s v="CUST772"/>
    <x v="0"/>
    <x v="1"/>
    <n v="26"/>
    <x v="2"/>
    <n v="1"/>
    <n v="30"/>
    <n v="30"/>
    <n v="0.44999999999999996"/>
    <n v="0.6"/>
  </r>
  <r>
    <n v="773"/>
    <n v="23"/>
    <n v="7"/>
    <n v="2023"/>
    <d v="2023-07-23T00:00:00"/>
    <s v="CUST773"/>
    <x v="0"/>
    <x v="1"/>
    <n v="25"/>
    <x v="2"/>
    <n v="4"/>
    <n v="500"/>
    <n v="2000"/>
    <n v="30"/>
    <n v="40"/>
  </r>
  <r>
    <n v="774"/>
    <n v="12"/>
    <n v="4"/>
    <n v="2023"/>
    <d v="2023-04-12T00:00:00"/>
    <s v="CUST774"/>
    <x v="1"/>
    <x v="0"/>
    <n v="40"/>
    <x v="1"/>
    <n v="2"/>
    <n v="25"/>
    <n v="50"/>
    <n v="0.75"/>
    <n v="1"/>
  </r>
  <r>
    <n v="775"/>
    <n v="8"/>
    <n v="2"/>
    <n v="2023"/>
    <d v="2023-02-08T00:00:00"/>
    <s v="CUST775"/>
    <x v="1"/>
    <x v="0"/>
    <n v="46"/>
    <x v="2"/>
    <n v="4"/>
    <n v="25"/>
    <n v="100"/>
    <n v="1.5"/>
    <n v="2"/>
  </r>
  <r>
    <n v="776"/>
    <n v="31"/>
    <n v="10"/>
    <n v="2023"/>
    <d v="2023-10-31T00:00:00"/>
    <s v="CUST776"/>
    <x v="0"/>
    <x v="0"/>
    <n v="35"/>
    <x v="1"/>
    <n v="3"/>
    <n v="30"/>
    <n v="90"/>
    <n v="1.3499999999999999"/>
    <n v="1.8"/>
  </r>
  <r>
    <n v="777"/>
    <n v="20"/>
    <n v="12"/>
    <n v="2023"/>
    <d v="2023-12-20T00:00:00"/>
    <s v="CUST777"/>
    <x v="0"/>
    <x v="0"/>
    <n v="48"/>
    <x v="2"/>
    <n v="3"/>
    <n v="50"/>
    <n v="150"/>
    <n v="2.25"/>
    <n v="3"/>
  </r>
  <r>
    <n v="778"/>
    <n v="18"/>
    <n v="11"/>
    <n v="2023"/>
    <d v="2023-11-18T00:00:00"/>
    <s v="CUST778"/>
    <x v="1"/>
    <x v="0"/>
    <n v="47"/>
    <x v="0"/>
    <n v="4"/>
    <n v="25"/>
    <n v="100"/>
    <n v="1.5"/>
    <n v="2"/>
  </r>
  <r>
    <n v="779"/>
    <n v="5"/>
    <n v="5"/>
    <n v="2023"/>
    <d v="2023-05-05T00:00:00"/>
    <s v="CUST779"/>
    <x v="1"/>
    <x v="2"/>
    <n v="56"/>
    <x v="2"/>
    <n v="2"/>
    <n v="500"/>
    <n v="1000"/>
    <n v="15"/>
    <n v="20"/>
  </r>
  <r>
    <n v="780"/>
    <n v="22"/>
    <n v="2"/>
    <n v="2023"/>
    <d v="2023-02-22T00:00:00"/>
    <s v="CUST780"/>
    <x v="0"/>
    <x v="2"/>
    <n v="52"/>
    <x v="2"/>
    <n v="2"/>
    <n v="25"/>
    <n v="50"/>
    <n v="0.75"/>
    <n v="1"/>
  </r>
  <r>
    <n v="781"/>
    <n v="23"/>
    <n v="12"/>
    <n v="2023"/>
    <d v="2023-12-23T00:00:00"/>
    <s v="CUST781"/>
    <x v="0"/>
    <x v="0"/>
    <n v="35"/>
    <x v="0"/>
    <n v="1"/>
    <n v="500"/>
    <n v="500"/>
    <n v="7.5"/>
    <n v="10"/>
  </r>
  <r>
    <n v="782"/>
    <n v="4"/>
    <n v="6"/>
    <n v="2023"/>
    <d v="2023-06-04T00:00:00"/>
    <s v="CUST782"/>
    <x v="0"/>
    <x v="2"/>
    <n v="59"/>
    <x v="1"/>
    <n v="3"/>
    <n v="300"/>
    <n v="900"/>
    <n v="13.5"/>
    <n v="18"/>
  </r>
  <r>
    <n v="783"/>
    <n v="17"/>
    <n v="12"/>
    <n v="2023"/>
    <d v="2023-12-17T00:00:00"/>
    <s v="CUST783"/>
    <x v="1"/>
    <x v="2"/>
    <n v="56"/>
    <x v="1"/>
    <n v="1"/>
    <n v="300"/>
    <n v="300"/>
    <n v="4.5"/>
    <n v="6"/>
  </r>
  <r>
    <n v="784"/>
    <n v="4"/>
    <n v="11"/>
    <n v="2023"/>
    <d v="2023-11-04T00:00:00"/>
    <s v="CUST784"/>
    <x v="1"/>
    <x v="0"/>
    <n v="34"/>
    <x v="2"/>
    <n v="1"/>
    <n v="500"/>
    <n v="500"/>
    <n v="7.5"/>
    <n v="10"/>
  </r>
  <r>
    <n v="785"/>
    <n v="3"/>
    <n v="3"/>
    <n v="2023"/>
    <d v="2023-03-03T00:00:00"/>
    <s v="CUST785"/>
    <x v="1"/>
    <x v="0"/>
    <n v="31"/>
    <x v="0"/>
    <n v="4"/>
    <n v="50"/>
    <n v="200"/>
    <n v="3"/>
    <n v="4"/>
  </r>
  <r>
    <n v="786"/>
    <n v="17"/>
    <n v="10"/>
    <n v="2023"/>
    <d v="2023-10-17T00:00:00"/>
    <s v="CUST786"/>
    <x v="0"/>
    <x v="0"/>
    <n v="48"/>
    <x v="1"/>
    <n v="4"/>
    <n v="25"/>
    <n v="100"/>
    <n v="1.5"/>
    <n v="2"/>
  </r>
  <r>
    <n v="787"/>
    <n v="22"/>
    <n v="1"/>
    <n v="2023"/>
    <d v="2023-01-22T00:00:00"/>
    <s v="CUST787"/>
    <x v="0"/>
    <x v="0"/>
    <n v="41"/>
    <x v="2"/>
    <n v="1"/>
    <n v="25"/>
    <n v="25"/>
    <n v="0.375"/>
    <n v="0.5"/>
  </r>
  <r>
    <n v="788"/>
    <n v="27"/>
    <n v="6"/>
    <n v="2023"/>
    <d v="2023-06-27T00:00:00"/>
    <s v="CUST788"/>
    <x v="1"/>
    <x v="2"/>
    <n v="52"/>
    <x v="0"/>
    <n v="3"/>
    <n v="300"/>
    <n v="900"/>
    <n v="13.5"/>
    <n v="18"/>
  </r>
  <r>
    <n v="789"/>
    <n v="30"/>
    <n v="9"/>
    <n v="2023"/>
    <d v="2023-09-30T00:00:00"/>
    <s v="CUST789"/>
    <x v="1"/>
    <x v="2"/>
    <n v="61"/>
    <x v="1"/>
    <n v="4"/>
    <n v="500"/>
    <n v="2000"/>
    <n v="30"/>
    <n v="40"/>
  </r>
  <r>
    <n v="790"/>
    <n v="8"/>
    <n v="8"/>
    <n v="2023"/>
    <d v="2023-08-08T00:00:00"/>
    <s v="CUST790"/>
    <x v="0"/>
    <x v="2"/>
    <n v="62"/>
    <x v="1"/>
    <n v="1"/>
    <n v="25"/>
    <n v="25"/>
    <n v="0.375"/>
    <n v="0.5"/>
  </r>
  <r>
    <n v="791"/>
    <n v="5"/>
    <n v="12"/>
    <n v="2023"/>
    <d v="2023-12-05T00:00:00"/>
    <s v="CUST791"/>
    <x v="1"/>
    <x v="2"/>
    <n v="51"/>
    <x v="0"/>
    <n v="1"/>
    <n v="25"/>
    <n v="25"/>
    <n v="0.375"/>
    <n v="0.5"/>
  </r>
  <r>
    <n v="792"/>
    <n v="9"/>
    <n v="7"/>
    <n v="2023"/>
    <d v="2023-07-09T00:00:00"/>
    <s v="CUST792"/>
    <x v="1"/>
    <x v="1"/>
    <n v="20"/>
    <x v="0"/>
    <n v="1"/>
    <n v="50"/>
    <n v="50"/>
    <n v="0.75"/>
    <n v="1"/>
  </r>
  <r>
    <n v="793"/>
    <n v="5"/>
    <n v="2"/>
    <n v="2023"/>
    <d v="2023-02-05T00:00:00"/>
    <s v="CUST793"/>
    <x v="0"/>
    <x v="2"/>
    <n v="54"/>
    <x v="0"/>
    <n v="1"/>
    <n v="30"/>
    <n v="30"/>
    <n v="0.44999999999999996"/>
    <n v="0.6"/>
  </r>
  <r>
    <n v="794"/>
    <n v="17"/>
    <n v="9"/>
    <n v="2023"/>
    <d v="2023-09-17T00:00:00"/>
    <s v="CUST794"/>
    <x v="1"/>
    <x v="2"/>
    <n v="60"/>
    <x v="0"/>
    <n v="1"/>
    <n v="300"/>
    <n v="300"/>
    <n v="4.5"/>
    <n v="6"/>
  </r>
  <r>
    <n v="795"/>
    <n v="28"/>
    <n v="11"/>
    <n v="2023"/>
    <d v="2023-11-28T00:00:00"/>
    <s v="CUST795"/>
    <x v="0"/>
    <x v="2"/>
    <n v="57"/>
    <x v="2"/>
    <n v="1"/>
    <n v="300"/>
    <n v="300"/>
    <n v="4.5"/>
    <n v="6"/>
  </r>
  <r>
    <n v="796"/>
    <n v="24"/>
    <n v="6"/>
    <n v="2023"/>
    <d v="2023-06-24T00:00:00"/>
    <s v="CUST796"/>
    <x v="0"/>
    <x v="0"/>
    <n v="43"/>
    <x v="0"/>
    <n v="4"/>
    <n v="30"/>
    <n v="120"/>
    <n v="1.7999999999999998"/>
    <n v="2.4"/>
  </r>
  <r>
    <n v="797"/>
    <n v="7"/>
    <n v="1"/>
    <n v="2023"/>
    <d v="2023-01-07T00:00:00"/>
    <s v="CUST797"/>
    <x v="0"/>
    <x v="0"/>
    <n v="40"/>
    <x v="1"/>
    <n v="3"/>
    <n v="25"/>
    <n v="75"/>
    <n v="1.125"/>
    <n v="1.5"/>
  </r>
  <r>
    <n v="798"/>
    <n v="4"/>
    <n v="8"/>
    <n v="2023"/>
    <d v="2023-08-04T00:00:00"/>
    <s v="CUST798"/>
    <x v="0"/>
    <x v="2"/>
    <n v="61"/>
    <x v="1"/>
    <n v="1"/>
    <n v="50"/>
    <n v="50"/>
    <n v="0.75"/>
    <n v="1"/>
  </r>
  <r>
    <n v="799"/>
    <n v="8"/>
    <n v="9"/>
    <n v="2023"/>
    <d v="2023-09-08T00:00:00"/>
    <s v="CUST799"/>
    <x v="0"/>
    <x v="2"/>
    <n v="56"/>
    <x v="2"/>
    <n v="2"/>
    <n v="50"/>
    <n v="100"/>
    <n v="1.5"/>
    <n v="2"/>
  </r>
  <r>
    <n v="800"/>
    <n v="24"/>
    <n v="2"/>
    <n v="2023"/>
    <d v="2023-02-24T00:00:00"/>
    <s v="CUST800"/>
    <x v="0"/>
    <x v="0"/>
    <n v="32"/>
    <x v="1"/>
    <n v="4"/>
    <n v="300"/>
    <n v="1200"/>
    <n v="18"/>
    <n v="24"/>
  </r>
  <r>
    <n v="801"/>
    <n v="10"/>
    <n v="8"/>
    <n v="2023"/>
    <d v="2023-08-10T00:00:00"/>
    <s v="CUST801"/>
    <x v="0"/>
    <x v="1"/>
    <n v="21"/>
    <x v="1"/>
    <n v="4"/>
    <n v="50"/>
    <n v="200"/>
    <n v="3"/>
    <n v="4"/>
  </r>
  <r>
    <n v="802"/>
    <n v="5"/>
    <n v="7"/>
    <n v="2023"/>
    <d v="2023-07-05T00:00:00"/>
    <s v="CUST802"/>
    <x v="1"/>
    <x v="0"/>
    <n v="46"/>
    <x v="0"/>
    <n v="1"/>
    <n v="30"/>
    <n v="30"/>
    <n v="0.44999999999999996"/>
    <n v="0.6"/>
  </r>
  <r>
    <n v="803"/>
    <n v="22"/>
    <n v="11"/>
    <n v="2023"/>
    <d v="2023-11-22T00:00:00"/>
    <s v="CUST803"/>
    <x v="0"/>
    <x v="0"/>
    <n v="39"/>
    <x v="1"/>
    <n v="4"/>
    <n v="25"/>
    <n v="100"/>
    <n v="1.5"/>
    <n v="2"/>
  </r>
  <r>
    <n v="804"/>
    <n v="24"/>
    <n v="8"/>
    <n v="2023"/>
    <d v="2023-08-24T00:00:00"/>
    <s v="CUST804"/>
    <x v="0"/>
    <x v="0"/>
    <n v="42"/>
    <x v="2"/>
    <n v="1"/>
    <n v="30"/>
    <n v="30"/>
    <n v="0.44999999999999996"/>
    <n v="0.6"/>
  </r>
  <r>
    <n v="805"/>
    <n v="29"/>
    <n v="12"/>
    <n v="2023"/>
    <d v="2023-12-29T00:00:00"/>
    <s v="CUST805"/>
    <x v="1"/>
    <x v="0"/>
    <n v="30"/>
    <x v="0"/>
    <n v="3"/>
    <n v="500"/>
    <n v="1500"/>
    <n v="22.5"/>
    <n v="30"/>
  </r>
  <r>
    <n v="806"/>
    <n v="20"/>
    <n v="3"/>
    <n v="2023"/>
    <d v="2023-03-20T00:00:00"/>
    <s v="CUST806"/>
    <x v="1"/>
    <x v="0"/>
    <n v="35"/>
    <x v="0"/>
    <n v="3"/>
    <n v="300"/>
    <n v="900"/>
    <n v="13.5"/>
    <n v="18"/>
  </r>
  <r>
    <n v="807"/>
    <n v="11"/>
    <n v="8"/>
    <n v="2023"/>
    <d v="2023-08-11T00:00:00"/>
    <s v="CUST807"/>
    <x v="1"/>
    <x v="2"/>
    <n v="50"/>
    <x v="2"/>
    <n v="4"/>
    <n v="50"/>
    <n v="200"/>
    <n v="3"/>
    <n v="4"/>
  </r>
  <r>
    <n v="808"/>
    <n v="1"/>
    <n v="4"/>
    <n v="2023"/>
    <d v="2023-04-01T00:00:00"/>
    <s v="CUST808"/>
    <x v="0"/>
    <x v="0"/>
    <n v="33"/>
    <x v="0"/>
    <n v="4"/>
    <n v="500"/>
    <n v="2000"/>
    <n v="30"/>
    <n v="40"/>
  </r>
  <r>
    <n v="809"/>
    <n v="25"/>
    <n v="9"/>
    <n v="2023"/>
    <d v="2023-09-25T00:00:00"/>
    <s v="CUST809"/>
    <x v="1"/>
    <x v="2"/>
    <n v="62"/>
    <x v="0"/>
    <n v="2"/>
    <n v="50"/>
    <n v="100"/>
    <n v="1.5"/>
    <n v="2"/>
  </r>
  <r>
    <n v="810"/>
    <n v="30"/>
    <n v="11"/>
    <n v="2023"/>
    <d v="2023-11-30T00:00:00"/>
    <s v="CUST810"/>
    <x v="0"/>
    <x v="2"/>
    <n v="59"/>
    <x v="2"/>
    <n v="4"/>
    <n v="25"/>
    <n v="100"/>
    <n v="1.5"/>
    <n v="2"/>
  </r>
  <r>
    <n v="811"/>
    <n v="19"/>
    <n v="5"/>
    <n v="2023"/>
    <d v="2023-05-19T00:00:00"/>
    <s v="CUST811"/>
    <x v="0"/>
    <x v="2"/>
    <n v="61"/>
    <x v="0"/>
    <n v="2"/>
    <n v="25"/>
    <n v="50"/>
    <n v="0.75"/>
    <n v="1"/>
  </r>
  <r>
    <n v="812"/>
    <n v="12"/>
    <n v="11"/>
    <n v="2023"/>
    <d v="2023-11-12T00:00:00"/>
    <s v="CUST812"/>
    <x v="0"/>
    <x v="1"/>
    <n v="19"/>
    <x v="2"/>
    <n v="3"/>
    <n v="25"/>
    <n v="75"/>
    <n v="1.125"/>
    <n v="1.5"/>
  </r>
  <r>
    <n v="813"/>
    <n v="3"/>
    <n v="10"/>
    <n v="2023"/>
    <d v="2023-10-03T00:00:00"/>
    <s v="CUST813"/>
    <x v="0"/>
    <x v="2"/>
    <n v="52"/>
    <x v="2"/>
    <n v="3"/>
    <n v="50"/>
    <n v="150"/>
    <n v="2.25"/>
    <n v="3"/>
  </r>
  <r>
    <n v="814"/>
    <n v="5"/>
    <n v="9"/>
    <n v="2023"/>
    <d v="2023-09-05T00:00:00"/>
    <s v="CUST814"/>
    <x v="1"/>
    <x v="2"/>
    <n v="59"/>
    <x v="1"/>
    <n v="1"/>
    <n v="500"/>
    <n v="500"/>
    <n v="7.5"/>
    <n v="10"/>
  </r>
  <r>
    <n v="815"/>
    <n v="27"/>
    <n v="8"/>
    <n v="2023"/>
    <d v="2023-08-27T00:00:00"/>
    <s v="CUST815"/>
    <x v="1"/>
    <x v="2"/>
    <n v="51"/>
    <x v="1"/>
    <n v="3"/>
    <n v="25"/>
    <n v="75"/>
    <n v="1.125"/>
    <n v="1.5"/>
  </r>
  <r>
    <n v="816"/>
    <n v="12"/>
    <n v="8"/>
    <n v="2023"/>
    <d v="2023-08-12T00:00:00"/>
    <s v="CUST816"/>
    <x v="0"/>
    <x v="0"/>
    <n v="47"/>
    <x v="0"/>
    <n v="2"/>
    <n v="500"/>
    <n v="1000"/>
    <n v="15"/>
    <n v="20"/>
  </r>
  <r>
    <n v="817"/>
    <n v="31"/>
    <n v="10"/>
    <n v="2023"/>
    <d v="2023-10-31T00:00:00"/>
    <s v="CUST817"/>
    <x v="0"/>
    <x v="0"/>
    <n v="30"/>
    <x v="0"/>
    <n v="4"/>
    <n v="50"/>
    <n v="200"/>
    <n v="3"/>
    <n v="4"/>
  </r>
  <r>
    <n v="818"/>
    <n v="18"/>
    <n v="5"/>
    <n v="2023"/>
    <d v="2023-05-18T00:00:00"/>
    <s v="CUST818"/>
    <x v="0"/>
    <x v="0"/>
    <n v="30"/>
    <x v="2"/>
    <n v="1"/>
    <n v="500"/>
    <n v="500"/>
    <n v="7.5"/>
    <n v="10"/>
  </r>
  <r>
    <n v="819"/>
    <n v="15"/>
    <n v="6"/>
    <n v="2023"/>
    <d v="2023-06-15T00:00:00"/>
    <s v="CUST819"/>
    <x v="1"/>
    <x v="0"/>
    <n v="35"/>
    <x v="0"/>
    <n v="2"/>
    <n v="50"/>
    <n v="100"/>
    <n v="1.5"/>
    <n v="2"/>
  </r>
  <r>
    <n v="820"/>
    <n v="6"/>
    <n v="5"/>
    <n v="2023"/>
    <d v="2023-05-06T00:00:00"/>
    <s v="CUST820"/>
    <x v="0"/>
    <x v="0"/>
    <n v="49"/>
    <x v="2"/>
    <n v="4"/>
    <n v="50"/>
    <n v="200"/>
    <n v="3"/>
    <n v="4"/>
  </r>
  <r>
    <n v="821"/>
    <n v="14"/>
    <n v="2"/>
    <n v="2023"/>
    <d v="2023-02-14T00:00:00"/>
    <s v="CUST821"/>
    <x v="0"/>
    <x v="0"/>
    <n v="49"/>
    <x v="2"/>
    <n v="1"/>
    <n v="300"/>
    <n v="300"/>
    <n v="4.5"/>
    <n v="6"/>
  </r>
  <r>
    <n v="822"/>
    <n v="23"/>
    <n v="5"/>
    <n v="2023"/>
    <d v="2023-05-23T00:00:00"/>
    <s v="CUST822"/>
    <x v="1"/>
    <x v="2"/>
    <n v="52"/>
    <x v="0"/>
    <n v="3"/>
    <n v="50"/>
    <n v="150"/>
    <n v="2.25"/>
    <n v="3"/>
  </r>
  <r>
    <n v="823"/>
    <n v="19"/>
    <n v="8"/>
    <n v="2023"/>
    <d v="2023-08-19T00:00:00"/>
    <s v="CUST823"/>
    <x v="1"/>
    <x v="2"/>
    <n v="56"/>
    <x v="2"/>
    <n v="2"/>
    <n v="50"/>
    <n v="100"/>
    <n v="1.5"/>
    <n v="2"/>
  </r>
  <r>
    <n v="824"/>
    <n v="5"/>
    <n v="5"/>
    <n v="2023"/>
    <d v="2023-05-05T00:00:00"/>
    <s v="CUST824"/>
    <x v="0"/>
    <x v="2"/>
    <n v="63"/>
    <x v="1"/>
    <n v="4"/>
    <n v="30"/>
    <n v="120"/>
    <n v="1.7999999999999998"/>
    <n v="2.4"/>
  </r>
  <r>
    <n v="825"/>
    <n v="26"/>
    <n v="8"/>
    <n v="2023"/>
    <d v="2023-08-26T00:00:00"/>
    <s v="CUST825"/>
    <x v="1"/>
    <x v="0"/>
    <n v="46"/>
    <x v="0"/>
    <n v="1"/>
    <n v="25"/>
    <n v="25"/>
    <n v="0.375"/>
    <n v="0.5"/>
  </r>
  <r>
    <n v="826"/>
    <n v="19"/>
    <n v="10"/>
    <n v="2023"/>
    <d v="2023-10-19T00:00:00"/>
    <s v="CUST826"/>
    <x v="1"/>
    <x v="0"/>
    <n v="46"/>
    <x v="1"/>
    <n v="1"/>
    <n v="300"/>
    <n v="300"/>
    <n v="4.5"/>
    <n v="6"/>
  </r>
  <r>
    <n v="827"/>
    <n v="9"/>
    <n v="11"/>
    <n v="2023"/>
    <d v="2023-11-09T00:00:00"/>
    <s v="CUST827"/>
    <x v="0"/>
    <x v="2"/>
    <n v="61"/>
    <x v="0"/>
    <n v="3"/>
    <n v="300"/>
    <n v="900"/>
    <n v="13.5"/>
    <n v="18"/>
  </r>
  <r>
    <n v="828"/>
    <n v="9"/>
    <n v="12"/>
    <n v="2023"/>
    <d v="2023-12-09T00:00:00"/>
    <s v="CUST828"/>
    <x v="1"/>
    <x v="0"/>
    <n v="33"/>
    <x v="2"/>
    <n v="4"/>
    <n v="300"/>
    <n v="1200"/>
    <n v="18"/>
    <n v="24"/>
  </r>
  <r>
    <n v="829"/>
    <n v="14"/>
    <n v="7"/>
    <n v="2023"/>
    <d v="2023-07-14T00:00:00"/>
    <s v="CUST829"/>
    <x v="0"/>
    <x v="2"/>
    <n v="61"/>
    <x v="0"/>
    <n v="3"/>
    <n v="30"/>
    <n v="90"/>
    <n v="1.3499999999999999"/>
    <n v="1.8"/>
  </r>
  <r>
    <n v="830"/>
    <n v="22"/>
    <n v="6"/>
    <n v="2023"/>
    <d v="2023-06-22T00:00:00"/>
    <s v="CUST830"/>
    <x v="1"/>
    <x v="2"/>
    <n v="64"/>
    <x v="1"/>
    <n v="3"/>
    <n v="50"/>
    <n v="150"/>
    <n v="2.25"/>
    <n v="3"/>
  </r>
  <r>
    <n v="831"/>
    <n v="15"/>
    <n v="1"/>
    <n v="2023"/>
    <d v="2023-01-15T00:00:00"/>
    <s v="CUST831"/>
    <x v="0"/>
    <x v="1"/>
    <n v="27"/>
    <x v="2"/>
    <n v="4"/>
    <n v="25"/>
    <n v="100"/>
    <n v="1.5"/>
    <n v="2"/>
  </r>
  <r>
    <n v="832"/>
    <n v="11"/>
    <n v="9"/>
    <n v="2023"/>
    <d v="2023-09-11T00:00:00"/>
    <s v="CUST832"/>
    <x v="0"/>
    <x v="0"/>
    <n v="47"/>
    <x v="0"/>
    <n v="4"/>
    <n v="500"/>
    <n v="2000"/>
    <n v="30"/>
    <n v="40"/>
  </r>
  <r>
    <n v="833"/>
    <n v="16"/>
    <n v="6"/>
    <n v="2023"/>
    <d v="2023-06-16T00:00:00"/>
    <s v="CUST833"/>
    <x v="0"/>
    <x v="0"/>
    <n v="42"/>
    <x v="0"/>
    <n v="4"/>
    <n v="50"/>
    <n v="200"/>
    <n v="3"/>
    <n v="4"/>
  </r>
  <r>
    <n v="834"/>
    <n v="4"/>
    <n v="4"/>
    <n v="2023"/>
    <d v="2023-04-04T00:00:00"/>
    <s v="CUST834"/>
    <x v="1"/>
    <x v="2"/>
    <n v="56"/>
    <x v="0"/>
    <n v="2"/>
    <n v="30"/>
    <n v="60"/>
    <n v="0.89999999999999991"/>
    <n v="1.2"/>
  </r>
  <r>
    <n v="835"/>
    <n v="7"/>
    <n v="9"/>
    <n v="2023"/>
    <d v="2023-09-07T00:00:00"/>
    <s v="CUST835"/>
    <x v="0"/>
    <x v="0"/>
    <n v="37"/>
    <x v="1"/>
    <n v="4"/>
    <n v="50"/>
    <n v="200"/>
    <n v="3"/>
    <n v="4"/>
  </r>
  <r>
    <n v="836"/>
    <n v="19"/>
    <n v="4"/>
    <n v="2023"/>
    <d v="2023-04-19T00:00:00"/>
    <s v="CUST836"/>
    <x v="1"/>
    <x v="1"/>
    <n v="22"/>
    <x v="1"/>
    <n v="1"/>
    <n v="50"/>
    <n v="50"/>
    <n v="0.75"/>
    <n v="1"/>
  </r>
  <r>
    <n v="837"/>
    <n v="1"/>
    <n v="7"/>
    <n v="2023"/>
    <d v="2023-07-01T00:00:00"/>
    <s v="CUST837"/>
    <x v="0"/>
    <x v="1"/>
    <n v="18"/>
    <x v="0"/>
    <n v="3"/>
    <n v="30"/>
    <n v="90"/>
    <n v="1.3499999999999999"/>
    <n v="1.8"/>
  </r>
  <r>
    <n v="838"/>
    <n v="13"/>
    <n v="5"/>
    <n v="2023"/>
    <d v="2023-05-13T00:00:00"/>
    <s v="CUST838"/>
    <x v="0"/>
    <x v="0"/>
    <n v="47"/>
    <x v="2"/>
    <n v="2"/>
    <n v="300"/>
    <n v="600"/>
    <n v="9"/>
    <n v="12"/>
  </r>
  <r>
    <n v="839"/>
    <n v="24"/>
    <n v="6"/>
    <n v="2023"/>
    <d v="2023-06-24T00:00:00"/>
    <s v="CUST839"/>
    <x v="1"/>
    <x v="1"/>
    <n v="20"/>
    <x v="2"/>
    <n v="4"/>
    <n v="300"/>
    <n v="1200"/>
    <n v="18"/>
    <n v="24"/>
  </r>
  <r>
    <n v="840"/>
    <n v="24"/>
    <n v="5"/>
    <n v="2023"/>
    <d v="2023-05-24T00:00:00"/>
    <s v="CUST840"/>
    <x v="0"/>
    <x v="2"/>
    <n v="62"/>
    <x v="1"/>
    <n v="2"/>
    <n v="25"/>
    <n v="50"/>
    <n v="0.75"/>
    <n v="1"/>
  </r>
  <r>
    <n v="841"/>
    <n v="2"/>
    <n v="11"/>
    <n v="2023"/>
    <d v="2023-11-02T00:00:00"/>
    <s v="CUST841"/>
    <x v="0"/>
    <x v="0"/>
    <n v="31"/>
    <x v="2"/>
    <n v="4"/>
    <n v="25"/>
    <n v="100"/>
    <n v="1.5"/>
    <n v="2"/>
  </r>
  <r>
    <n v="842"/>
    <n v="26"/>
    <n v="12"/>
    <n v="2023"/>
    <d v="2023-12-26T00:00:00"/>
    <s v="CUST842"/>
    <x v="1"/>
    <x v="0"/>
    <n v="47"/>
    <x v="1"/>
    <n v="2"/>
    <n v="300"/>
    <n v="600"/>
    <n v="9"/>
    <n v="12"/>
  </r>
  <r>
    <n v="843"/>
    <n v="22"/>
    <n v="5"/>
    <n v="2023"/>
    <d v="2023-05-22T00:00:00"/>
    <s v="CUST843"/>
    <x v="0"/>
    <x v="1"/>
    <n v="21"/>
    <x v="0"/>
    <n v="3"/>
    <n v="500"/>
    <n v="1500"/>
    <n v="22.5"/>
    <n v="30"/>
  </r>
  <r>
    <n v="844"/>
    <n v="12"/>
    <n v="10"/>
    <n v="2023"/>
    <d v="2023-10-12T00:00:00"/>
    <s v="CUST844"/>
    <x v="0"/>
    <x v="0"/>
    <n v="35"/>
    <x v="1"/>
    <n v="3"/>
    <n v="50"/>
    <n v="150"/>
    <n v="2.25"/>
    <n v="3"/>
  </r>
  <r>
    <n v="845"/>
    <n v="6"/>
    <n v="1"/>
    <n v="2023"/>
    <d v="2023-01-06T00:00:00"/>
    <s v="CUST845"/>
    <x v="0"/>
    <x v="2"/>
    <n v="54"/>
    <x v="1"/>
    <n v="1"/>
    <n v="500"/>
    <n v="500"/>
    <n v="7.5"/>
    <n v="10"/>
  </r>
  <r>
    <n v="846"/>
    <n v="22"/>
    <n v="9"/>
    <n v="2023"/>
    <d v="2023-09-22T00:00:00"/>
    <s v="CUST846"/>
    <x v="0"/>
    <x v="0"/>
    <n v="42"/>
    <x v="0"/>
    <n v="1"/>
    <n v="50"/>
    <n v="50"/>
    <n v="0.75"/>
    <n v="1"/>
  </r>
  <r>
    <n v="847"/>
    <n v="8"/>
    <n v="4"/>
    <n v="2023"/>
    <d v="2023-04-08T00:00:00"/>
    <s v="CUST847"/>
    <x v="1"/>
    <x v="1"/>
    <n v="18"/>
    <x v="2"/>
    <n v="4"/>
    <n v="300"/>
    <n v="1200"/>
    <n v="18"/>
    <n v="24"/>
  </r>
  <r>
    <n v="848"/>
    <n v="13"/>
    <n v="2"/>
    <n v="2023"/>
    <d v="2023-02-13T00:00:00"/>
    <s v="CUST848"/>
    <x v="1"/>
    <x v="2"/>
    <n v="63"/>
    <x v="1"/>
    <n v="3"/>
    <n v="25"/>
    <n v="75"/>
    <n v="1.125"/>
    <n v="1.5"/>
  </r>
  <r>
    <n v="849"/>
    <n v="4"/>
    <n v="5"/>
    <n v="2023"/>
    <d v="2023-05-04T00:00:00"/>
    <s v="CUST849"/>
    <x v="0"/>
    <x v="0"/>
    <n v="32"/>
    <x v="1"/>
    <n v="2"/>
    <n v="25"/>
    <n v="50"/>
    <n v="0.75"/>
    <n v="1"/>
  </r>
  <r>
    <n v="850"/>
    <n v="28"/>
    <n v="7"/>
    <n v="2023"/>
    <d v="2023-07-28T00:00:00"/>
    <s v="CUST850"/>
    <x v="1"/>
    <x v="1"/>
    <n v="26"/>
    <x v="0"/>
    <n v="2"/>
    <n v="500"/>
    <n v="1000"/>
    <n v="15"/>
    <n v="20"/>
  </r>
  <r>
    <n v="851"/>
    <n v="8"/>
    <n v="9"/>
    <n v="2023"/>
    <d v="2023-09-08T00:00:00"/>
    <s v="CUST851"/>
    <x v="0"/>
    <x v="0"/>
    <n v="32"/>
    <x v="2"/>
    <n v="2"/>
    <n v="25"/>
    <n v="50"/>
    <n v="0.75"/>
    <n v="1"/>
  </r>
  <r>
    <n v="852"/>
    <n v="12"/>
    <n v="10"/>
    <n v="2023"/>
    <d v="2023-10-12T00:00:00"/>
    <s v="CUST852"/>
    <x v="1"/>
    <x v="0"/>
    <n v="41"/>
    <x v="1"/>
    <n v="1"/>
    <n v="300"/>
    <n v="300"/>
    <n v="4.5"/>
    <n v="6"/>
  </r>
  <r>
    <n v="853"/>
    <n v="4"/>
    <n v="5"/>
    <n v="2023"/>
    <d v="2023-05-04T00:00:00"/>
    <s v="CUST853"/>
    <x v="0"/>
    <x v="1"/>
    <n v="21"/>
    <x v="0"/>
    <n v="2"/>
    <n v="500"/>
    <n v="1000"/>
    <n v="15"/>
    <n v="20"/>
  </r>
  <r>
    <n v="854"/>
    <n v="20"/>
    <n v="12"/>
    <n v="2023"/>
    <d v="2023-12-20T00:00:00"/>
    <s v="CUST854"/>
    <x v="0"/>
    <x v="1"/>
    <n v="29"/>
    <x v="1"/>
    <n v="1"/>
    <n v="50"/>
    <n v="50"/>
    <n v="0.75"/>
    <n v="1"/>
  </r>
  <r>
    <n v="855"/>
    <n v="1"/>
    <n v="9"/>
    <n v="2023"/>
    <d v="2023-09-01T00:00:00"/>
    <s v="CUST855"/>
    <x v="0"/>
    <x v="2"/>
    <n v="54"/>
    <x v="0"/>
    <n v="1"/>
    <n v="25"/>
    <n v="25"/>
    <n v="0.375"/>
    <n v="0.5"/>
  </r>
  <r>
    <n v="856"/>
    <n v="27"/>
    <n v="11"/>
    <n v="2023"/>
    <d v="2023-11-27T00:00:00"/>
    <s v="CUST856"/>
    <x v="0"/>
    <x v="2"/>
    <n v="54"/>
    <x v="2"/>
    <n v="4"/>
    <n v="30"/>
    <n v="120"/>
    <n v="1.7999999999999998"/>
    <n v="2.4"/>
  </r>
  <r>
    <n v="857"/>
    <n v="31"/>
    <n v="12"/>
    <n v="2023"/>
    <d v="2023-12-31T00:00:00"/>
    <s v="CUST857"/>
    <x v="0"/>
    <x v="2"/>
    <n v="60"/>
    <x v="2"/>
    <n v="2"/>
    <n v="25"/>
    <n v="50"/>
    <n v="0.75"/>
    <n v="1"/>
  </r>
  <r>
    <n v="858"/>
    <n v="9"/>
    <n v="9"/>
    <n v="2023"/>
    <d v="2023-09-09T00:00:00"/>
    <s v="CUST858"/>
    <x v="0"/>
    <x v="1"/>
    <n v="23"/>
    <x v="2"/>
    <n v="2"/>
    <n v="50"/>
    <n v="100"/>
    <n v="1.5"/>
    <n v="2"/>
  </r>
  <r>
    <n v="859"/>
    <n v="18"/>
    <n v="8"/>
    <n v="2023"/>
    <d v="2023-08-18T00:00:00"/>
    <s v="CUST859"/>
    <x v="1"/>
    <x v="2"/>
    <n v="56"/>
    <x v="2"/>
    <n v="3"/>
    <n v="500"/>
    <n v="1500"/>
    <n v="22.5"/>
    <n v="30"/>
  </r>
  <r>
    <n v="860"/>
    <n v="9"/>
    <n v="1"/>
    <n v="2023"/>
    <d v="2023-01-09T00:00:00"/>
    <s v="CUST860"/>
    <x v="0"/>
    <x v="2"/>
    <n v="63"/>
    <x v="1"/>
    <n v="4"/>
    <n v="50"/>
    <n v="200"/>
    <n v="3"/>
    <n v="4"/>
  </r>
  <r>
    <n v="861"/>
    <n v="17"/>
    <n v="2"/>
    <n v="2023"/>
    <d v="2023-02-17T00:00:00"/>
    <s v="CUST861"/>
    <x v="1"/>
    <x v="0"/>
    <n v="41"/>
    <x v="1"/>
    <n v="3"/>
    <n v="30"/>
    <n v="90"/>
    <n v="1.3499999999999999"/>
    <n v="1.8"/>
  </r>
  <r>
    <n v="862"/>
    <n v="31"/>
    <n v="5"/>
    <n v="2023"/>
    <d v="2023-05-31T00:00:00"/>
    <s v="CUST862"/>
    <x v="0"/>
    <x v="1"/>
    <n v="28"/>
    <x v="2"/>
    <n v="4"/>
    <n v="300"/>
    <n v="1200"/>
    <n v="18"/>
    <n v="24"/>
  </r>
  <r>
    <n v="863"/>
    <n v="24"/>
    <n v="4"/>
    <n v="2023"/>
    <d v="2023-04-24T00:00:00"/>
    <s v="CUST863"/>
    <x v="1"/>
    <x v="0"/>
    <n v="30"/>
    <x v="2"/>
    <n v="2"/>
    <n v="25"/>
    <n v="50"/>
    <n v="0.75"/>
    <n v="1"/>
  </r>
  <r>
    <n v="864"/>
    <n v="27"/>
    <n v="7"/>
    <n v="2023"/>
    <d v="2023-07-27T00:00:00"/>
    <s v="CUST864"/>
    <x v="1"/>
    <x v="2"/>
    <n v="51"/>
    <x v="2"/>
    <n v="1"/>
    <n v="500"/>
    <n v="500"/>
    <n v="7.5"/>
    <n v="10"/>
  </r>
  <r>
    <n v="865"/>
    <n v="21"/>
    <n v="12"/>
    <n v="2023"/>
    <d v="2023-12-21T00:00:00"/>
    <s v="CUST865"/>
    <x v="1"/>
    <x v="0"/>
    <n v="42"/>
    <x v="1"/>
    <n v="1"/>
    <n v="300"/>
    <n v="300"/>
    <n v="4.5"/>
    <n v="6"/>
  </r>
  <r>
    <n v="866"/>
    <n v="5"/>
    <n v="5"/>
    <n v="2023"/>
    <d v="2023-05-05T00:00:00"/>
    <s v="CUST866"/>
    <x v="0"/>
    <x v="1"/>
    <n v="24"/>
    <x v="2"/>
    <n v="1"/>
    <n v="50"/>
    <n v="50"/>
    <n v="0.75"/>
    <n v="1"/>
  </r>
  <r>
    <n v="867"/>
    <n v="6"/>
    <n v="6"/>
    <n v="2023"/>
    <d v="2023-06-06T00:00:00"/>
    <s v="CUST867"/>
    <x v="0"/>
    <x v="1"/>
    <n v="21"/>
    <x v="2"/>
    <n v="1"/>
    <n v="500"/>
    <n v="500"/>
    <n v="7.5"/>
    <n v="10"/>
  </r>
  <r>
    <n v="868"/>
    <n v="6"/>
    <n v="12"/>
    <n v="2023"/>
    <d v="2023-12-06T00:00:00"/>
    <s v="CUST868"/>
    <x v="1"/>
    <x v="1"/>
    <n v="25"/>
    <x v="2"/>
    <n v="1"/>
    <n v="300"/>
    <n v="300"/>
    <n v="4.5"/>
    <n v="6"/>
  </r>
  <r>
    <n v="869"/>
    <n v="25"/>
    <n v="10"/>
    <n v="2023"/>
    <d v="2023-10-25T00:00:00"/>
    <s v="CUST869"/>
    <x v="0"/>
    <x v="0"/>
    <n v="37"/>
    <x v="0"/>
    <n v="3"/>
    <n v="500"/>
    <n v="1500"/>
    <n v="22.5"/>
    <n v="30"/>
  </r>
  <r>
    <n v="870"/>
    <n v="8"/>
    <n v="7"/>
    <n v="2023"/>
    <d v="2023-07-08T00:00:00"/>
    <s v="CUST870"/>
    <x v="1"/>
    <x v="0"/>
    <n v="46"/>
    <x v="2"/>
    <n v="4"/>
    <n v="30"/>
    <n v="120"/>
    <n v="1.7999999999999998"/>
    <n v="2.4"/>
  </r>
  <r>
    <n v="871"/>
    <n v="31"/>
    <n v="8"/>
    <n v="2023"/>
    <d v="2023-08-31T00:00:00"/>
    <s v="CUST871"/>
    <x v="0"/>
    <x v="2"/>
    <n v="62"/>
    <x v="0"/>
    <n v="2"/>
    <n v="30"/>
    <n v="60"/>
    <n v="0.89999999999999991"/>
    <n v="1.2"/>
  </r>
  <r>
    <n v="872"/>
    <n v="11"/>
    <n v="10"/>
    <n v="2023"/>
    <d v="2023-10-11T00:00:00"/>
    <s v="CUST872"/>
    <x v="1"/>
    <x v="2"/>
    <n v="63"/>
    <x v="0"/>
    <n v="3"/>
    <n v="25"/>
    <n v="75"/>
    <n v="1.125"/>
    <n v="1.5"/>
  </r>
  <r>
    <n v="873"/>
    <n v="29"/>
    <n v="9"/>
    <n v="2023"/>
    <d v="2023-09-29T00:00:00"/>
    <s v="CUST873"/>
    <x v="1"/>
    <x v="1"/>
    <n v="27"/>
    <x v="2"/>
    <n v="4"/>
    <n v="25"/>
    <n v="100"/>
    <n v="1.5"/>
    <n v="2"/>
  </r>
  <r>
    <n v="874"/>
    <n v="26"/>
    <n v="6"/>
    <n v="2023"/>
    <d v="2023-06-26T00:00:00"/>
    <s v="CUST874"/>
    <x v="0"/>
    <x v="2"/>
    <n v="60"/>
    <x v="0"/>
    <n v="1"/>
    <n v="30"/>
    <n v="30"/>
    <n v="0.44999999999999996"/>
    <n v="0.6"/>
  </r>
  <r>
    <n v="875"/>
    <n v="6"/>
    <n v="8"/>
    <n v="2023"/>
    <d v="2023-08-06T00:00:00"/>
    <s v="CUST875"/>
    <x v="1"/>
    <x v="2"/>
    <n v="51"/>
    <x v="2"/>
    <n v="4"/>
    <n v="500"/>
    <n v="2000"/>
    <n v="30"/>
    <n v="40"/>
  </r>
  <r>
    <n v="876"/>
    <n v="9"/>
    <n v="10"/>
    <n v="2023"/>
    <d v="2023-10-09T00:00:00"/>
    <s v="CUST876"/>
    <x v="0"/>
    <x v="0"/>
    <n v="43"/>
    <x v="1"/>
    <n v="4"/>
    <n v="30"/>
    <n v="120"/>
    <n v="1.7999999999999998"/>
    <n v="2.4"/>
  </r>
  <r>
    <n v="877"/>
    <n v="19"/>
    <n v="6"/>
    <n v="2023"/>
    <d v="2023-06-19T00:00:00"/>
    <s v="CUST877"/>
    <x v="1"/>
    <x v="2"/>
    <n v="58"/>
    <x v="1"/>
    <n v="1"/>
    <n v="25"/>
    <n v="25"/>
    <n v="0.375"/>
    <n v="0.5"/>
  </r>
  <r>
    <n v="878"/>
    <n v="30"/>
    <n v="6"/>
    <n v="2023"/>
    <d v="2023-06-30T00:00:00"/>
    <s v="CUST878"/>
    <x v="1"/>
    <x v="1"/>
    <n v="20"/>
    <x v="1"/>
    <n v="1"/>
    <n v="30"/>
    <n v="30"/>
    <n v="0.44999999999999996"/>
    <n v="0.6"/>
  </r>
  <r>
    <n v="879"/>
    <n v="26"/>
    <n v="12"/>
    <n v="2023"/>
    <d v="2023-12-26T00:00:00"/>
    <s v="CUST879"/>
    <x v="0"/>
    <x v="1"/>
    <n v="23"/>
    <x v="1"/>
    <n v="1"/>
    <n v="30"/>
    <n v="30"/>
    <n v="0.44999999999999996"/>
    <n v="0.6"/>
  </r>
  <r>
    <n v="880"/>
    <n v="21"/>
    <n v="8"/>
    <n v="2023"/>
    <d v="2023-08-21T00:00:00"/>
    <s v="CUST880"/>
    <x v="0"/>
    <x v="1"/>
    <n v="22"/>
    <x v="0"/>
    <n v="2"/>
    <n v="500"/>
    <n v="1000"/>
    <n v="15"/>
    <n v="20"/>
  </r>
  <r>
    <n v="881"/>
    <n v="19"/>
    <n v="5"/>
    <n v="2023"/>
    <d v="2023-05-19T00:00:00"/>
    <s v="CUST881"/>
    <x v="0"/>
    <x v="1"/>
    <n v="22"/>
    <x v="2"/>
    <n v="1"/>
    <n v="300"/>
    <n v="300"/>
    <n v="4.5"/>
    <n v="6"/>
  </r>
  <r>
    <n v="882"/>
    <n v="6"/>
    <n v="6"/>
    <n v="2023"/>
    <d v="2023-06-06T00:00:00"/>
    <s v="CUST882"/>
    <x v="1"/>
    <x v="2"/>
    <n v="64"/>
    <x v="2"/>
    <n v="2"/>
    <n v="25"/>
    <n v="50"/>
    <n v="0.75"/>
    <n v="1"/>
  </r>
  <r>
    <n v="883"/>
    <n v="9"/>
    <n v="5"/>
    <n v="2023"/>
    <d v="2023-05-09T00:00:00"/>
    <s v="CUST883"/>
    <x v="0"/>
    <x v="0"/>
    <n v="40"/>
    <x v="2"/>
    <n v="1"/>
    <n v="500"/>
    <n v="500"/>
    <n v="7.5"/>
    <n v="10"/>
  </r>
  <r>
    <n v="884"/>
    <n v="29"/>
    <n v="4"/>
    <n v="2023"/>
    <d v="2023-04-29T00:00:00"/>
    <s v="CUST884"/>
    <x v="1"/>
    <x v="1"/>
    <n v="26"/>
    <x v="1"/>
    <n v="2"/>
    <n v="30"/>
    <n v="60"/>
    <n v="0.89999999999999991"/>
    <n v="1.2"/>
  </r>
  <r>
    <n v="885"/>
    <n v="3"/>
    <n v="3"/>
    <n v="2023"/>
    <d v="2023-03-03T00:00:00"/>
    <s v="CUST885"/>
    <x v="1"/>
    <x v="2"/>
    <n v="52"/>
    <x v="1"/>
    <n v="4"/>
    <n v="30"/>
    <n v="120"/>
    <n v="1.7999999999999998"/>
    <n v="2.4"/>
  </r>
  <r>
    <n v="886"/>
    <n v="9"/>
    <n v="4"/>
    <n v="2023"/>
    <d v="2023-04-09T00:00:00"/>
    <s v="CUST886"/>
    <x v="0"/>
    <x v="0"/>
    <n v="37"/>
    <x v="2"/>
    <n v="3"/>
    <n v="300"/>
    <n v="900"/>
    <n v="13.5"/>
    <n v="18"/>
  </r>
  <r>
    <n v="887"/>
    <n v="11"/>
    <n v="6"/>
    <n v="2023"/>
    <d v="2023-06-11T00:00:00"/>
    <s v="CUST887"/>
    <x v="0"/>
    <x v="2"/>
    <n v="59"/>
    <x v="1"/>
    <n v="4"/>
    <n v="25"/>
    <n v="100"/>
    <n v="1.5"/>
    <n v="2"/>
  </r>
  <r>
    <n v="888"/>
    <n v="3"/>
    <n v="3"/>
    <n v="2023"/>
    <d v="2023-03-03T00:00:00"/>
    <s v="CUST888"/>
    <x v="1"/>
    <x v="2"/>
    <n v="52"/>
    <x v="2"/>
    <n v="4"/>
    <n v="25"/>
    <n v="100"/>
    <n v="1.5"/>
    <n v="2"/>
  </r>
  <r>
    <n v="889"/>
    <n v="2"/>
    <n v="10"/>
    <n v="2023"/>
    <d v="2023-10-02T00:00:00"/>
    <s v="CUST889"/>
    <x v="1"/>
    <x v="0"/>
    <n v="35"/>
    <x v="2"/>
    <n v="1"/>
    <n v="50"/>
    <n v="50"/>
    <n v="0.75"/>
    <n v="1"/>
  </r>
  <r>
    <n v="890"/>
    <n v="20"/>
    <n v="12"/>
    <n v="2023"/>
    <d v="2023-12-20T00:00:00"/>
    <s v="CUST890"/>
    <x v="0"/>
    <x v="0"/>
    <n v="34"/>
    <x v="2"/>
    <n v="2"/>
    <n v="25"/>
    <n v="50"/>
    <n v="0.75"/>
    <n v="1"/>
  </r>
  <r>
    <n v="891"/>
    <n v="5"/>
    <n v="4"/>
    <n v="2023"/>
    <d v="2023-04-05T00:00:00"/>
    <s v="CUST891"/>
    <x v="0"/>
    <x v="0"/>
    <n v="41"/>
    <x v="2"/>
    <n v="3"/>
    <n v="300"/>
    <n v="900"/>
    <n v="13.5"/>
    <n v="18"/>
  </r>
  <r>
    <n v="892"/>
    <n v="9"/>
    <n v="4"/>
    <n v="2023"/>
    <d v="2023-04-09T00:00:00"/>
    <s v="CUST892"/>
    <x v="0"/>
    <x v="1"/>
    <n v="20"/>
    <x v="2"/>
    <n v="1"/>
    <n v="50"/>
    <n v="50"/>
    <n v="0.75"/>
    <n v="1"/>
  </r>
  <r>
    <n v="893"/>
    <n v="21"/>
    <n v="4"/>
    <n v="2023"/>
    <d v="2023-04-21T00:00:00"/>
    <s v="CUST893"/>
    <x v="0"/>
    <x v="0"/>
    <n v="49"/>
    <x v="2"/>
    <n v="1"/>
    <n v="50"/>
    <n v="50"/>
    <n v="0.75"/>
    <n v="1"/>
  </r>
  <r>
    <n v="894"/>
    <n v="5"/>
    <n v="9"/>
    <n v="2023"/>
    <d v="2023-09-05T00:00:00"/>
    <s v="CUST894"/>
    <x v="0"/>
    <x v="2"/>
    <n v="52"/>
    <x v="2"/>
    <n v="1"/>
    <n v="30"/>
    <n v="30"/>
    <n v="0.44999999999999996"/>
    <n v="0.6"/>
  </r>
  <r>
    <n v="895"/>
    <n v="22"/>
    <n v="5"/>
    <n v="2023"/>
    <d v="2023-05-22T00:00:00"/>
    <s v="CUST895"/>
    <x v="1"/>
    <x v="2"/>
    <n v="55"/>
    <x v="1"/>
    <n v="4"/>
    <n v="30"/>
    <n v="120"/>
    <n v="1.7999999999999998"/>
    <n v="2.4"/>
  </r>
  <r>
    <n v="896"/>
    <n v="29"/>
    <n v="10"/>
    <n v="2023"/>
    <d v="2023-10-29T00:00:00"/>
    <s v="CUST896"/>
    <x v="1"/>
    <x v="0"/>
    <n v="30"/>
    <x v="2"/>
    <n v="2"/>
    <n v="25"/>
    <n v="50"/>
    <n v="0.75"/>
    <n v="1"/>
  </r>
  <r>
    <n v="897"/>
    <n v="26"/>
    <n v="9"/>
    <n v="2023"/>
    <d v="2023-09-26T00:00:00"/>
    <s v="CUST897"/>
    <x v="1"/>
    <x v="2"/>
    <n v="64"/>
    <x v="2"/>
    <n v="2"/>
    <n v="50"/>
    <n v="100"/>
    <n v="1.5"/>
    <n v="2"/>
  </r>
  <r>
    <n v="898"/>
    <n v="2"/>
    <n v="11"/>
    <n v="2023"/>
    <d v="2023-11-02T00:00:00"/>
    <s v="CUST898"/>
    <x v="1"/>
    <x v="0"/>
    <n v="42"/>
    <x v="1"/>
    <n v="3"/>
    <n v="30"/>
    <n v="90"/>
    <n v="1.3499999999999999"/>
    <n v="1.8"/>
  </r>
  <r>
    <n v="899"/>
    <n v="25"/>
    <n v="5"/>
    <n v="2023"/>
    <d v="2023-05-25T00:00:00"/>
    <s v="CUST899"/>
    <x v="0"/>
    <x v="1"/>
    <n v="26"/>
    <x v="1"/>
    <n v="2"/>
    <n v="300"/>
    <n v="600"/>
    <n v="9"/>
    <n v="12"/>
  </r>
  <r>
    <n v="900"/>
    <n v="21"/>
    <n v="2"/>
    <n v="2023"/>
    <d v="2023-02-21T00:00:00"/>
    <s v="CUST900"/>
    <x v="0"/>
    <x v="1"/>
    <n v="21"/>
    <x v="1"/>
    <n v="2"/>
    <n v="30"/>
    <n v="60"/>
    <n v="0.89999999999999991"/>
    <n v="1.2"/>
  </r>
  <r>
    <n v="901"/>
    <n v="10"/>
    <n v="4"/>
    <n v="2023"/>
    <d v="2023-04-10T00:00:00"/>
    <s v="CUST901"/>
    <x v="0"/>
    <x v="0"/>
    <n v="31"/>
    <x v="2"/>
    <n v="1"/>
    <n v="30"/>
    <n v="30"/>
    <n v="0.44999999999999996"/>
    <n v="0.6"/>
  </r>
  <r>
    <n v="902"/>
    <n v="1"/>
    <n v="6"/>
    <n v="2023"/>
    <d v="2023-06-01T00:00:00"/>
    <s v="CUST902"/>
    <x v="1"/>
    <x v="2"/>
    <n v="54"/>
    <x v="0"/>
    <n v="1"/>
    <n v="50"/>
    <n v="50"/>
    <n v="0.75"/>
    <n v="1"/>
  </r>
  <r>
    <n v="903"/>
    <n v="27"/>
    <n v="4"/>
    <n v="2023"/>
    <d v="2023-04-27T00:00:00"/>
    <s v="CUST903"/>
    <x v="1"/>
    <x v="2"/>
    <n v="51"/>
    <x v="0"/>
    <n v="4"/>
    <n v="50"/>
    <n v="200"/>
    <n v="3"/>
    <n v="4"/>
  </r>
  <r>
    <n v="904"/>
    <n v="4"/>
    <n v="7"/>
    <n v="2023"/>
    <d v="2023-07-04T00:00:00"/>
    <s v="CUST904"/>
    <x v="0"/>
    <x v="1"/>
    <n v="28"/>
    <x v="1"/>
    <n v="1"/>
    <n v="500"/>
    <n v="500"/>
    <n v="7.5"/>
    <n v="10"/>
  </r>
  <r>
    <n v="905"/>
    <n v="2"/>
    <n v="4"/>
    <n v="2023"/>
    <d v="2023-04-02T00:00:00"/>
    <s v="CUST905"/>
    <x v="0"/>
    <x v="2"/>
    <n v="58"/>
    <x v="0"/>
    <n v="1"/>
    <n v="300"/>
    <n v="300"/>
    <n v="4.5"/>
    <n v="6"/>
  </r>
  <r>
    <n v="906"/>
    <n v="4"/>
    <n v="6"/>
    <n v="2023"/>
    <d v="2023-06-04T00:00:00"/>
    <s v="CUST906"/>
    <x v="1"/>
    <x v="1"/>
    <n v="20"/>
    <x v="1"/>
    <n v="1"/>
    <n v="50"/>
    <n v="50"/>
    <n v="0.75"/>
    <n v="1"/>
  </r>
  <r>
    <n v="907"/>
    <n v="8"/>
    <n v="1"/>
    <n v="2023"/>
    <d v="2023-01-08T00:00:00"/>
    <s v="CUST907"/>
    <x v="1"/>
    <x v="0"/>
    <n v="45"/>
    <x v="2"/>
    <n v="1"/>
    <n v="25"/>
    <n v="25"/>
    <n v="0.375"/>
    <n v="0.5"/>
  </r>
  <r>
    <n v="908"/>
    <n v="29"/>
    <n v="12"/>
    <n v="2023"/>
    <d v="2023-12-29T00:00:00"/>
    <s v="CUST908"/>
    <x v="0"/>
    <x v="0"/>
    <n v="46"/>
    <x v="0"/>
    <n v="4"/>
    <n v="300"/>
    <n v="1200"/>
    <n v="18"/>
    <n v="24"/>
  </r>
  <r>
    <n v="909"/>
    <n v="1"/>
    <n v="10"/>
    <n v="2023"/>
    <d v="2023-10-01T00:00:00"/>
    <s v="CUST909"/>
    <x v="0"/>
    <x v="1"/>
    <n v="26"/>
    <x v="2"/>
    <n v="1"/>
    <n v="300"/>
    <n v="300"/>
    <n v="4.5"/>
    <n v="6"/>
  </r>
  <r>
    <n v="910"/>
    <n v="6"/>
    <n v="3"/>
    <n v="2023"/>
    <d v="2023-03-06T00:00:00"/>
    <s v="CUST910"/>
    <x v="1"/>
    <x v="1"/>
    <n v="20"/>
    <x v="0"/>
    <n v="3"/>
    <n v="50"/>
    <n v="150"/>
    <n v="2.25"/>
    <n v="3"/>
  </r>
  <r>
    <n v="911"/>
    <n v="21"/>
    <n v="5"/>
    <n v="2023"/>
    <d v="2023-05-21T00:00:00"/>
    <s v="CUST911"/>
    <x v="0"/>
    <x v="0"/>
    <n v="42"/>
    <x v="2"/>
    <n v="3"/>
    <n v="300"/>
    <n v="900"/>
    <n v="13.5"/>
    <n v="18"/>
  </r>
  <r>
    <n v="912"/>
    <n v="24"/>
    <n v="1"/>
    <n v="2023"/>
    <d v="2023-01-24T00:00:00"/>
    <s v="CUST912"/>
    <x v="0"/>
    <x v="2"/>
    <n v="51"/>
    <x v="0"/>
    <n v="3"/>
    <n v="50"/>
    <n v="150"/>
    <n v="2.25"/>
    <n v="3"/>
  </r>
  <r>
    <n v="913"/>
    <n v="28"/>
    <n v="1"/>
    <n v="2023"/>
    <d v="2023-01-28T00:00:00"/>
    <s v="CUST913"/>
    <x v="0"/>
    <x v="1"/>
    <n v="29"/>
    <x v="2"/>
    <n v="3"/>
    <n v="30"/>
    <n v="90"/>
    <n v="1.3499999999999999"/>
    <n v="1.8"/>
  </r>
  <r>
    <n v="914"/>
    <n v="11"/>
    <n v="10"/>
    <n v="2023"/>
    <d v="2023-10-11T00:00:00"/>
    <s v="CUST914"/>
    <x v="1"/>
    <x v="2"/>
    <n v="59"/>
    <x v="2"/>
    <n v="1"/>
    <n v="500"/>
    <n v="500"/>
    <n v="7.5"/>
    <n v="10"/>
  </r>
  <r>
    <n v="915"/>
    <n v="30"/>
    <n v="5"/>
    <n v="2023"/>
    <d v="2023-05-30T00:00:00"/>
    <s v="CUST915"/>
    <x v="1"/>
    <x v="1"/>
    <n v="26"/>
    <x v="0"/>
    <n v="3"/>
    <n v="30"/>
    <n v="90"/>
    <n v="1.3499999999999999"/>
    <n v="1.8"/>
  </r>
  <r>
    <n v="916"/>
    <n v="24"/>
    <n v="12"/>
    <n v="2023"/>
    <d v="2023-12-24T00:00:00"/>
    <s v="CUST916"/>
    <x v="1"/>
    <x v="0"/>
    <n v="32"/>
    <x v="2"/>
    <n v="1"/>
    <n v="50"/>
    <n v="50"/>
    <n v="0.75"/>
    <n v="1"/>
  </r>
  <r>
    <n v="917"/>
    <n v="6"/>
    <n v="3"/>
    <n v="2023"/>
    <d v="2023-03-06T00:00:00"/>
    <s v="CUST917"/>
    <x v="1"/>
    <x v="2"/>
    <n v="57"/>
    <x v="2"/>
    <n v="4"/>
    <n v="50"/>
    <n v="200"/>
    <n v="3"/>
    <n v="4"/>
  </r>
  <r>
    <n v="918"/>
    <n v="23"/>
    <n v="11"/>
    <n v="2023"/>
    <d v="2023-11-23T00:00:00"/>
    <s v="CUST918"/>
    <x v="1"/>
    <x v="0"/>
    <n v="42"/>
    <x v="2"/>
    <n v="3"/>
    <n v="30"/>
    <n v="90"/>
    <n v="1.3499999999999999"/>
    <n v="1.8"/>
  </r>
  <r>
    <n v="919"/>
    <n v="9"/>
    <n v="9"/>
    <n v="2023"/>
    <d v="2023-09-09T00:00:00"/>
    <s v="CUST919"/>
    <x v="1"/>
    <x v="1"/>
    <n v="22"/>
    <x v="0"/>
    <n v="2"/>
    <n v="25"/>
    <n v="50"/>
    <n v="0.75"/>
    <n v="1"/>
  </r>
  <r>
    <n v="920"/>
    <n v="22"/>
    <n v="2"/>
    <n v="2023"/>
    <d v="2023-02-22T00:00:00"/>
    <s v="CUST920"/>
    <x v="1"/>
    <x v="1"/>
    <n v="28"/>
    <x v="0"/>
    <n v="3"/>
    <n v="25"/>
    <n v="75"/>
    <n v="1.125"/>
    <n v="1.5"/>
  </r>
  <r>
    <n v="921"/>
    <n v="7"/>
    <n v="1"/>
    <n v="2023"/>
    <d v="2023-01-07T00:00:00"/>
    <s v="CUST921"/>
    <x v="0"/>
    <x v="2"/>
    <n v="51"/>
    <x v="2"/>
    <n v="3"/>
    <n v="25"/>
    <n v="75"/>
    <n v="1.125"/>
    <n v="1.5"/>
  </r>
  <r>
    <n v="922"/>
    <n v="21"/>
    <n v="10"/>
    <n v="2023"/>
    <d v="2023-10-21T00:00:00"/>
    <s v="CUST922"/>
    <x v="0"/>
    <x v="0"/>
    <n v="41"/>
    <x v="2"/>
    <n v="1"/>
    <n v="50"/>
    <n v="50"/>
    <n v="0.75"/>
    <n v="1"/>
  </r>
  <r>
    <n v="923"/>
    <n v="26"/>
    <n v="5"/>
    <n v="2023"/>
    <d v="2023-05-26T00:00:00"/>
    <s v="CUST923"/>
    <x v="0"/>
    <x v="0"/>
    <n v="32"/>
    <x v="0"/>
    <n v="3"/>
    <n v="300"/>
    <n v="900"/>
    <n v="13.5"/>
    <n v="18"/>
  </r>
  <r>
    <n v="924"/>
    <n v="29"/>
    <n v="8"/>
    <n v="2023"/>
    <d v="2023-08-29T00:00:00"/>
    <s v="CUST924"/>
    <x v="0"/>
    <x v="2"/>
    <n v="55"/>
    <x v="0"/>
    <n v="2"/>
    <n v="50"/>
    <n v="100"/>
    <n v="1.5"/>
    <n v="2"/>
  </r>
  <r>
    <n v="925"/>
    <n v="3"/>
    <n v="9"/>
    <n v="2023"/>
    <d v="2023-09-03T00:00:00"/>
    <s v="CUST925"/>
    <x v="0"/>
    <x v="1"/>
    <n v="25"/>
    <x v="2"/>
    <n v="1"/>
    <n v="300"/>
    <n v="300"/>
    <n v="4.5"/>
    <n v="6"/>
  </r>
  <r>
    <n v="926"/>
    <n v="14"/>
    <n v="8"/>
    <n v="2023"/>
    <d v="2023-08-14T00:00:00"/>
    <s v="CUST926"/>
    <x v="0"/>
    <x v="1"/>
    <n v="22"/>
    <x v="2"/>
    <n v="1"/>
    <n v="30"/>
    <n v="30"/>
    <n v="0.44999999999999996"/>
    <n v="0.6"/>
  </r>
  <r>
    <n v="927"/>
    <n v="24"/>
    <n v="6"/>
    <n v="2023"/>
    <d v="2023-06-24T00:00:00"/>
    <s v="CUST927"/>
    <x v="0"/>
    <x v="0"/>
    <n v="43"/>
    <x v="2"/>
    <n v="4"/>
    <n v="500"/>
    <n v="2000"/>
    <n v="30"/>
    <n v="40"/>
  </r>
  <r>
    <n v="928"/>
    <n v="5"/>
    <n v="4"/>
    <n v="2023"/>
    <d v="2023-04-05T00:00:00"/>
    <s v="CUST928"/>
    <x v="1"/>
    <x v="0"/>
    <n v="35"/>
    <x v="1"/>
    <n v="4"/>
    <n v="300"/>
    <n v="1200"/>
    <n v="18"/>
    <n v="24"/>
  </r>
  <r>
    <n v="929"/>
    <n v="27"/>
    <n v="1"/>
    <n v="2023"/>
    <d v="2023-01-27T00:00:00"/>
    <s v="CUST929"/>
    <x v="1"/>
    <x v="1"/>
    <n v="23"/>
    <x v="0"/>
    <n v="3"/>
    <n v="25"/>
    <n v="75"/>
    <n v="1.125"/>
    <n v="1.5"/>
  </r>
  <r>
    <n v="930"/>
    <n v="10"/>
    <n v="5"/>
    <n v="2023"/>
    <d v="2023-05-10T00:00:00"/>
    <s v="CUST930"/>
    <x v="0"/>
    <x v="2"/>
    <n v="54"/>
    <x v="1"/>
    <n v="4"/>
    <n v="50"/>
    <n v="200"/>
    <n v="3"/>
    <n v="4"/>
  </r>
  <r>
    <n v="931"/>
    <n v="2"/>
    <n v="9"/>
    <n v="2023"/>
    <d v="2023-09-02T00:00:00"/>
    <s v="CUST931"/>
    <x v="0"/>
    <x v="0"/>
    <n v="30"/>
    <x v="0"/>
    <n v="4"/>
    <n v="30"/>
    <n v="120"/>
    <n v="1.7999999999999998"/>
    <n v="2.4"/>
  </r>
  <r>
    <n v="932"/>
    <n v="28"/>
    <n v="2"/>
    <n v="2023"/>
    <d v="2023-02-28T00:00:00"/>
    <s v="CUST932"/>
    <x v="1"/>
    <x v="0"/>
    <n v="45"/>
    <x v="0"/>
    <n v="4"/>
    <n v="25"/>
    <n v="100"/>
    <n v="1.5"/>
    <n v="2"/>
  </r>
  <r>
    <n v="933"/>
    <n v="3"/>
    <n v="2"/>
    <n v="2023"/>
    <d v="2023-02-03T00:00:00"/>
    <s v="CUST933"/>
    <x v="0"/>
    <x v="1"/>
    <n v="22"/>
    <x v="0"/>
    <n v="1"/>
    <n v="30"/>
    <n v="30"/>
    <n v="0.44999999999999996"/>
    <n v="0.6"/>
  </r>
  <r>
    <n v="934"/>
    <n v="25"/>
    <n v="7"/>
    <n v="2023"/>
    <d v="2023-07-25T00:00:00"/>
    <s v="CUST934"/>
    <x v="0"/>
    <x v="0"/>
    <n v="30"/>
    <x v="0"/>
    <n v="1"/>
    <n v="500"/>
    <n v="500"/>
    <n v="7.5"/>
    <n v="10"/>
  </r>
  <r>
    <n v="935"/>
    <n v="9"/>
    <n v="9"/>
    <n v="2023"/>
    <d v="2023-09-09T00:00:00"/>
    <s v="CUST935"/>
    <x v="1"/>
    <x v="0"/>
    <n v="34"/>
    <x v="0"/>
    <n v="1"/>
    <n v="50"/>
    <n v="50"/>
    <n v="0.75"/>
    <n v="1"/>
  </r>
  <r>
    <n v="936"/>
    <n v="7"/>
    <n v="2"/>
    <n v="2023"/>
    <d v="2023-02-07T00:00:00"/>
    <s v="CUST936"/>
    <x v="0"/>
    <x v="2"/>
    <n v="57"/>
    <x v="0"/>
    <n v="4"/>
    <n v="50"/>
    <n v="200"/>
    <n v="3"/>
    <n v="4"/>
  </r>
  <r>
    <n v="937"/>
    <n v="23"/>
    <n v="10"/>
    <n v="2023"/>
    <d v="2023-10-23T00:00:00"/>
    <s v="CUST937"/>
    <x v="1"/>
    <x v="2"/>
    <n v="62"/>
    <x v="0"/>
    <n v="1"/>
    <n v="500"/>
    <n v="500"/>
    <n v="7.5"/>
    <n v="10"/>
  </r>
  <r>
    <n v="938"/>
    <n v="19"/>
    <n v="11"/>
    <n v="2023"/>
    <d v="2023-11-19T00:00:00"/>
    <s v="CUST938"/>
    <x v="0"/>
    <x v="0"/>
    <n v="49"/>
    <x v="1"/>
    <n v="4"/>
    <n v="50"/>
    <n v="200"/>
    <n v="3"/>
    <n v="4"/>
  </r>
  <r>
    <n v="939"/>
    <n v="18"/>
    <n v="12"/>
    <n v="2023"/>
    <d v="2023-12-18T00:00:00"/>
    <s v="CUST939"/>
    <x v="1"/>
    <x v="0"/>
    <n v="46"/>
    <x v="2"/>
    <n v="1"/>
    <n v="300"/>
    <n v="300"/>
    <n v="4.5"/>
    <n v="6"/>
  </r>
  <r>
    <n v="940"/>
    <n v="28"/>
    <n v="1"/>
    <n v="2023"/>
    <d v="2023-01-28T00:00:00"/>
    <s v="CUST940"/>
    <x v="1"/>
    <x v="1"/>
    <n v="20"/>
    <x v="2"/>
    <n v="1"/>
    <n v="30"/>
    <n v="30"/>
    <n v="0.44999999999999996"/>
    <n v="0.6"/>
  </r>
  <r>
    <n v="941"/>
    <n v="19"/>
    <n v="3"/>
    <n v="2023"/>
    <d v="2023-03-19T00:00:00"/>
    <s v="CUST941"/>
    <x v="1"/>
    <x v="2"/>
    <n v="57"/>
    <x v="1"/>
    <n v="2"/>
    <n v="25"/>
    <n v="50"/>
    <n v="0.75"/>
    <n v="1"/>
  </r>
  <r>
    <n v="942"/>
    <n v="18"/>
    <n v="3"/>
    <n v="2023"/>
    <d v="2023-03-18T00:00:00"/>
    <s v="CUST942"/>
    <x v="0"/>
    <x v="2"/>
    <n v="51"/>
    <x v="1"/>
    <n v="3"/>
    <n v="500"/>
    <n v="1500"/>
    <n v="22.5"/>
    <n v="30"/>
  </r>
  <r>
    <n v="943"/>
    <n v="16"/>
    <n v="10"/>
    <n v="2023"/>
    <d v="2023-10-16T00:00:00"/>
    <s v="CUST943"/>
    <x v="1"/>
    <x v="2"/>
    <n v="57"/>
    <x v="1"/>
    <n v="4"/>
    <n v="300"/>
    <n v="1200"/>
    <n v="18"/>
    <n v="24"/>
  </r>
  <r>
    <n v="944"/>
    <n v="5"/>
    <n v="6"/>
    <n v="2023"/>
    <d v="2023-06-05T00:00:00"/>
    <s v="CUST944"/>
    <x v="0"/>
    <x v="0"/>
    <n v="44"/>
    <x v="1"/>
    <n v="2"/>
    <n v="25"/>
    <n v="50"/>
    <n v="0.75"/>
    <n v="1"/>
  </r>
  <r>
    <n v="945"/>
    <n v="13"/>
    <n v="2"/>
    <n v="2023"/>
    <d v="2023-02-13T00:00:00"/>
    <s v="CUST945"/>
    <x v="0"/>
    <x v="0"/>
    <n v="30"/>
    <x v="0"/>
    <n v="1"/>
    <n v="25"/>
    <n v="25"/>
    <n v="0.375"/>
    <n v="0.5"/>
  </r>
  <r>
    <n v="946"/>
    <n v="8"/>
    <n v="5"/>
    <n v="2023"/>
    <d v="2023-05-08T00:00:00"/>
    <s v="CUST946"/>
    <x v="0"/>
    <x v="2"/>
    <n v="62"/>
    <x v="2"/>
    <n v="4"/>
    <n v="500"/>
    <n v="2000"/>
    <n v="30"/>
    <n v="40"/>
  </r>
  <r>
    <n v="947"/>
    <n v="2"/>
    <n v="3"/>
    <n v="2023"/>
    <d v="2023-03-02T00:00:00"/>
    <s v="CUST947"/>
    <x v="0"/>
    <x v="2"/>
    <n v="50"/>
    <x v="0"/>
    <n v="1"/>
    <n v="300"/>
    <n v="300"/>
    <n v="4.5"/>
    <n v="6"/>
  </r>
  <r>
    <n v="948"/>
    <n v="13"/>
    <n v="10"/>
    <n v="2023"/>
    <d v="2023-10-13T00:00:00"/>
    <s v="CUST948"/>
    <x v="1"/>
    <x v="1"/>
    <n v="23"/>
    <x v="2"/>
    <n v="3"/>
    <n v="25"/>
    <n v="75"/>
    <n v="1.125"/>
    <n v="1.5"/>
  </r>
  <r>
    <n v="949"/>
    <n v="2"/>
    <n v="8"/>
    <n v="2023"/>
    <d v="2023-08-02T00:00:00"/>
    <s v="CUST949"/>
    <x v="1"/>
    <x v="0"/>
    <n v="41"/>
    <x v="2"/>
    <n v="2"/>
    <n v="25"/>
    <n v="50"/>
    <n v="0.75"/>
    <n v="1"/>
  </r>
  <r>
    <n v="950"/>
    <n v="7"/>
    <n v="11"/>
    <n v="2023"/>
    <d v="2023-11-07T00:00:00"/>
    <s v="CUST950"/>
    <x v="0"/>
    <x v="0"/>
    <n v="36"/>
    <x v="1"/>
    <n v="3"/>
    <n v="300"/>
    <n v="900"/>
    <n v="13.5"/>
    <n v="18"/>
  </r>
  <r>
    <n v="951"/>
    <n v="2"/>
    <n v="11"/>
    <n v="2023"/>
    <d v="2023-11-02T00:00:00"/>
    <s v="CUST951"/>
    <x v="0"/>
    <x v="0"/>
    <n v="33"/>
    <x v="0"/>
    <n v="2"/>
    <n v="50"/>
    <n v="100"/>
    <n v="1.5"/>
    <n v="2"/>
  </r>
  <r>
    <n v="952"/>
    <n v="13"/>
    <n v="11"/>
    <n v="2023"/>
    <d v="2023-11-13T00:00:00"/>
    <s v="CUST952"/>
    <x v="1"/>
    <x v="2"/>
    <n v="57"/>
    <x v="1"/>
    <n v="1"/>
    <n v="25"/>
    <n v="25"/>
    <n v="0.375"/>
    <n v="0.5"/>
  </r>
  <r>
    <n v="953"/>
    <n v="26"/>
    <n v="4"/>
    <n v="2023"/>
    <d v="2023-04-26T00:00:00"/>
    <s v="CUST953"/>
    <x v="0"/>
    <x v="0"/>
    <n v="45"/>
    <x v="0"/>
    <n v="3"/>
    <n v="30"/>
    <n v="90"/>
    <n v="1.3499999999999999"/>
    <n v="1.8"/>
  </r>
  <r>
    <n v="954"/>
    <n v="25"/>
    <n v="9"/>
    <n v="2023"/>
    <d v="2023-09-25T00:00:00"/>
    <s v="CUST954"/>
    <x v="1"/>
    <x v="2"/>
    <n v="50"/>
    <x v="2"/>
    <n v="3"/>
    <n v="300"/>
    <n v="900"/>
    <n v="13.5"/>
    <n v="18"/>
  </r>
  <r>
    <n v="955"/>
    <n v="14"/>
    <n v="7"/>
    <n v="2023"/>
    <d v="2023-07-14T00:00:00"/>
    <s v="CUST955"/>
    <x v="0"/>
    <x v="2"/>
    <n v="58"/>
    <x v="1"/>
    <n v="1"/>
    <n v="25"/>
    <n v="25"/>
    <n v="0.375"/>
    <n v="0.5"/>
  </r>
  <r>
    <n v="956"/>
    <n v="19"/>
    <n v="8"/>
    <n v="2023"/>
    <d v="2023-08-19T00:00:00"/>
    <s v="CUST956"/>
    <x v="0"/>
    <x v="0"/>
    <n v="30"/>
    <x v="1"/>
    <n v="3"/>
    <n v="500"/>
    <n v="1500"/>
    <n v="22.5"/>
    <n v="30"/>
  </r>
  <r>
    <n v="957"/>
    <n v="15"/>
    <n v="8"/>
    <n v="2023"/>
    <d v="2023-08-15T00:00:00"/>
    <s v="CUST957"/>
    <x v="1"/>
    <x v="2"/>
    <n v="60"/>
    <x v="2"/>
    <n v="4"/>
    <n v="30"/>
    <n v="120"/>
    <n v="1.7999999999999998"/>
    <n v="2.4"/>
  </r>
  <r>
    <n v="958"/>
    <n v="2"/>
    <n v="6"/>
    <n v="2023"/>
    <d v="2023-06-02T00:00:00"/>
    <s v="CUST958"/>
    <x v="0"/>
    <x v="2"/>
    <n v="62"/>
    <x v="2"/>
    <n v="2"/>
    <n v="25"/>
    <n v="50"/>
    <n v="0.75"/>
    <n v="1"/>
  </r>
  <r>
    <n v="959"/>
    <n v="29"/>
    <n v="10"/>
    <n v="2023"/>
    <d v="2023-10-29T00:00:00"/>
    <s v="CUST959"/>
    <x v="1"/>
    <x v="0"/>
    <n v="42"/>
    <x v="2"/>
    <n v="2"/>
    <n v="30"/>
    <n v="60"/>
    <n v="0.89999999999999991"/>
    <n v="1.2"/>
  </r>
  <r>
    <n v="960"/>
    <n v="8"/>
    <n v="8"/>
    <n v="2023"/>
    <d v="2023-08-08T00:00:00"/>
    <s v="CUST960"/>
    <x v="0"/>
    <x v="2"/>
    <n v="59"/>
    <x v="1"/>
    <n v="2"/>
    <n v="30"/>
    <n v="60"/>
    <n v="0.89999999999999991"/>
    <n v="1.2"/>
  </r>
  <r>
    <n v="961"/>
    <n v="6"/>
    <n v="6"/>
    <n v="2023"/>
    <d v="2023-06-06T00:00:00"/>
    <s v="CUST961"/>
    <x v="0"/>
    <x v="2"/>
    <n v="53"/>
    <x v="0"/>
    <n v="4"/>
    <n v="50"/>
    <n v="200"/>
    <n v="3"/>
    <n v="4"/>
  </r>
  <r>
    <n v="962"/>
    <n v="19"/>
    <n v="10"/>
    <n v="2023"/>
    <d v="2023-10-19T00:00:00"/>
    <s v="CUST962"/>
    <x v="0"/>
    <x v="0"/>
    <n v="44"/>
    <x v="1"/>
    <n v="2"/>
    <n v="30"/>
    <n v="60"/>
    <n v="0.89999999999999991"/>
    <n v="1.2"/>
  </r>
  <r>
    <n v="963"/>
    <n v="14"/>
    <n v="11"/>
    <n v="2023"/>
    <d v="2023-11-14T00:00:00"/>
    <s v="CUST963"/>
    <x v="1"/>
    <x v="2"/>
    <n v="55"/>
    <x v="0"/>
    <n v="1"/>
    <n v="50"/>
    <n v="50"/>
    <n v="0.75"/>
    <n v="1"/>
  </r>
  <r>
    <n v="964"/>
    <n v="31"/>
    <n v="1"/>
    <n v="2023"/>
    <d v="2023-01-31T00:00:00"/>
    <s v="CUST964"/>
    <x v="0"/>
    <x v="1"/>
    <n v="24"/>
    <x v="1"/>
    <n v="3"/>
    <n v="300"/>
    <n v="900"/>
    <n v="13.5"/>
    <n v="18"/>
  </r>
  <r>
    <n v="965"/>
    <n v="9"/>
    <n v="11"/>
    <n v="2023"/>
    <d v="2023-11-09T00:00:00"/>
    <s v="CUST965"/>
    <x v="0"/>
    <x v="1"/>
    <n v="22"/>
    <x v="1"/>
    <n v="4"/>
    <n v="50"/>
    <n v="200"/>
    <n v="3"/>
    <n v="4"/>
  </r>
  <r>
    <n v="966"/>
    <n v="20"/>
    <n v="2"/>
    <n v="2023"/>
    <d v="2023-02-20T00:00:00"/>
    <s v="CUST966"/>
    <x v="0"/>
    <x v="2"/>
    <n v="60"/>
    <x v="2"/>
    <n v="2"/>
    <n v="500"/>
    <n v="1000"/>
    <n v="15"/>
    <n v="20"/>
  </r>
  <r>
    <n v="967"/>
    <n v="17"/>
    <n v="4"/>
    <n v="2023"/>
    <d v="2023-04-17T00:00:00"/>
    <s v="CUST967"/>
    <x v="0"/>
    <x v="2"/>
    <n v="62"/>
    <x v="0"/>
    <n v="1"/>
    <n v="25"/>
    <n v="25"/>
    <n v="0.375"/>
    <n v="0.5"/>
  </r>
  <r>
    <n v="968"/>
    <n v="17"/>
    <n v="11"/>
    <n v="2023"/>
    <d v="2023-11-17T00:00:00"/>
    <s v="CUST968"/>
    <x v="1"/>
    <x v="0"/>
    <n v="48"/>
    <x v="1"/>
    <n v="3"/>
    <n v="300"/>
    <n v="900"/>
    <n v="13.5"/>
    <n v="18"/>
  </r>
  <r>
    <n v="969"/>
    <n v="19"/>
    <n v="4"/>
    <n v="2023"/>
    <d v="2023-04-19T00:00:00"/>
    <s v="CUST969"/>
    <x v="1"/>
    <x v="0"/>
    <n v="40"/>
    <x v="1"/>
    <n v="3"/>
    <n v="300"/>
    <n v="900"/>
    <n v="13.5"/>
    <n v="18"/>
  </r>
  <r>
    <n v="970"/>
    <n v="16"/>
    <n v="5"/>
    <n v="2023"/>
    <d v="2023-05-16T00:00:00"/>
    <s v="CUST970"/>
    <x v="0"/>
    <x v="2"/>
    <n v="59"/>
    <x v="2"/>
    <n v="4"/>
    <n v="500"/>
    <n v="2000"/>
    <n v="30"/>
    <n v="40"/>
  </r>
  <r>
    <n v="971"/>
    <n v="5"/>
    <n v="12"/>
    <n v="2023"/>
    <d v="2023-12-05T00:00:00"/>
    <s v="CUST971"/>
    <x v="1"/>
    <x v="1"/>
    <n v="27"/>
    <x v="2"/>
    <n v="4"/>
    <n v="50"/>
    <n v="200"/>
    <n v="3"/>
    <n v="4"/>
  </r>
  <r>
    <n v="972"/>
    <n v="11"/>
    <n v="2"/>
    <n v="2023"/>
    <d v="2023-02-11T00:00:00"/>
    <s v="CUST972"/>
    <x v="0"/>
    <x v="0"/>
    <n v="49"/>
    <x v="0"/>
    <n v="4"/>
    <n v="25"/>
    <n v="100"/>
    <n v="1.5"/>
    <n v="2"/>
  </r>
  <r>
    <n v="973"/>
    <n v="22"/>
    <n v="3"/>
    <n v="2023"/>
    <d v="2023-03-22T00:00:00"/>
    <s v="CUST973"/>
    <x v="0"/>
    <x v="2"/>
    <n v="60"/>
    <x v="1"/>
    <n v="1"/>
    <n v="50"/>
    <n v="50"/>
    <n v="0.75"/>
    <n v="1"/>
  </r>
  <r>
    <n v="974"/>
    <n v="3"/>
    <n v="5"/>
    <n v="2023"/>
    <d v="2023-05-03T00:00:00"/>
    <s v="CUST974"/>
    <x v="0"/>
    <x v="0"/>
    <n v="47"/>
    <x v="0"/>
    <n v="1"/>
    <n v="30"/>
    <n v="30"/>
    <n v="0.44999999999999996"/>
    <n v="0.6"/>
  </r>
  <r>
    <n v="975"/>
    <n v="30"/>
    <n v="3"/>
    <n v="2023"/>
    <d v="2023-03-30T00:00:00"/>
    <s v="CUST975"/>
    <x v="1"/>
    <x v="2"/>
    <n v="56"/>
    <x v="1"/>
    <n v="4"/>
    <n v="50"/>
    <n v="200"/>
    <n v="3"/>
    <n v="4"/>
  </r>
  <r>
    <n v="976"/>
    <n v="10"/>
    <n v="10"/>
    <n v="2023"/>
    <d v="2023-10-10T00:00:00"/>
    <s v="CUST976"/>
    <x v="1"/>
    <x v="0"/>
    <n v="48"/>
    <x v="0"/>
    <n v="2"/>
    <n v="300"/>
    <n v="600"/>
    <n v="9"/>
    <n v="12"/>
  </r>
  <r>
    <n v="977"/>
    <n v="8"/>
    <n v="2"/>
    <n v="2023"/>
    <d v="2023-02-08T00:00:00"/>
    <s v="CUST977"/>
    <x v="1"/>
    <x v="0"/>
    <n v="35"/>
    <x v="2"/>
    <n v="3"/>
    <n v="25"/>
    <n v="75"/>
    <n v="1.125"/>
    <n v="1.5"/>
  </r>
  <r>
    <n v="978"/>
    <n v="22"/>
    <n v="3"/>
    <n v="2023"/>
    <d v="2023-03-22T00:00:00"/>
    <s v="CUST978"/>
    <x v="1"/>
    <x v="2"/>
    <n v="53"/>
    <x v="1"/>
    <n v="3"/>
    <n v="50"/>
    <n v="150"/>
    <n v="2.25"/>
    <n v="3"/>
  </r>
  <r>
    <n v="979"/>
    <n v="2"/>
    <n v="1"/>
    <n v="2023"/>
    <d v="2023-01-02T00:00:00"/>
    <s v="CUST979"/>
    <x v="1"/>
    <x v="1"/>
    <n v="19"/>
    <x v="0"/>
    <n v="1"/>
    <n v="25"/>
    <n v="25"/>
    <n v="0.375"/>
    <n v="0.5"/>
  </r>
  <r>
    <n v="980"/>
    <n v="29"/>
    <n v="7"/>
    <n v="2023"/>
    <d v="2023-07-29T00:00:00"/>
    <s v="CUST980"/>
    <x v="1"/>
    <x v="0"/>
    <n v="31"/>
    <x v="2"/>
    <n v="3"/>
    <n v="25"/>
    <n v="75"/>
    <n v="1.125"/>
    <n v="1.5"/>
  </r>
  <r>
    <n v="981"/>
    <n v="19"/>
    <n v="8"/>
    <n v="2023"/>
    <d v="2023-08-19T00:00:00"/>
    <s v="CUST981"/>
    <x v="1"/>
    <x v="0"/>
    <n v="30"/>
    <x v="2"/>
    <n v="2"/>
    <n v="30"/>
    <n v="60"/>
    <n v="0.89999999999999991"/>
    <n v="1.2"/>
  </r>
  <r>
    <n v="982"/>
    <n v="19"/>
    <n v="12"/>
    <n v="2023"/>
    <d v="2023-12-19T00:00:00"/>
    <s v="CUST982"/>
    <x v="1"/>
    <x v="0"/>
    <n v="46"/>
    <x v="0"/>
    <n v="3"/>
    <n v="30"/>
    <n v="90"/>
    <n v="1.3499999999999999"/>
    <n v="1.8"/>
  </r>
  <r>
    <n v="983"/>
    <n v="1"/>
    <n v="11"/>
    <n v="2023"/>
    <d v="2023-11-01T00:00:00"/>
    <s v="CUST983"/>
    <x v="1"/>
    <x v="1"/>
    <n v="29"/>
    <x v="1"/>
    <n v="1"/>
    <n v="300"/>
    <n v="300"/>
    <n v="4.5"/>
    <n v="6"/>
  </r>
  <r>
    <n v="984"/>
    <n v="29"/>
    <n v="8"/>
    <n v="2023"/>
    <d v="2023-08-29T00:00:00"/>
    <s v="CUST984"/>
    <x v="0"/>
    <x v="2"/>
    <n v="56"/>
    <x v="1"/>
    <n v="1"/>
    <n v="500"/>
    <n v="500"/>
    <n v="7.5"/>
    <n v="10"/>
  </r>
  <r>
    <n v="985"/>
    <n v="30"/>
    <n v="5"/>
    <n v="2023"/>
    <d v="2023-05-30T00:00:00"/>
    <s v="CUST985"/>
    <x v="1"/>
    <x v="1"/>
    <n v="19"/>
    <x v="2"/>
    <n v="2"/>
    <n v="25"/>
    <n v="50"/>
    <n v="0.75"/>
    <n v="1"/>
  </r>
  <r>
    <n v="986"/>
    <n v="17"/>
    <n v="1"/>
    <n v="2023"/>
    <d v="2023-01-17T00:00:00"/>
    <s v="CUST986"/>
    <x v="1"/>
    <x v="0"/>
    <n v="49"/>
    <x v="1"/>
    <n v="2"/>
    <n v="500"/>
    <n v="1000"/>
    <n v="15"/>
    <n v="20"/>
  </r>
  <r>
    <n v="987"/>
    <n v="29"/>
    <n v="4"/>
    <n v="2023"/>
    <d v="2023-04-29T00:00:00"/>
    <s v="CUST987"/>
    <x v="1"/>
    <x v="0"/>
    <n v="30"/>
    <x v="1"/>
    <n v="3"/>
    <n v="300"/>
    <n v="900"/>
    <n v="13.5"/>
    <n v="18"/>
  </r>
  <r>
    <n v="988"/>
    <n v="28"/>
    <n v="5"/>
    <n v="2023"/>
    <d v="2023-05-28T00:00:00"/>
    <s v="CUST988"/>
    <x v="1"/>
    <x v="2"/>
    <n v="63"/>
    <x v="1"/>
    <n v="3"/>
    <n v="25"/>
    <n v="75"/>
    <n v="1.125"/>
    <n v="1.5"/>
  </r>
  <r>
    <n v="989"/>
    <n v="28"/>
    <n v="12"/>
    <n v="2023"/>
    <d v="2023-12-28T00:00:00"/>
    <s v="CUST989"/>
    <x v="1"/>
    <x v="0"/>
    <n v="44"/>
    <x v="2"/>
    <n v="1"/>
    <n v="25"/>
    <n v="25"/>
    <n v="0.375"/>
    <n v="0.5"/>
  </r>
  <r>
    <n v="990"/>
    <n v="25"/>
    <n v="5"/>
    <n v="2023"/>
    <d v="2023-05-25T00:00:00"/>
    <s v="CUST990"/>
    <x v="1"/>
    <x v="2"/>
    <n v="58"/>
    <x v="0"/>
    <n v="2"/>
    <n v="500"/>
    <n v="1000"/>
    <n v="15"/>
    <n v="20"/>
  </r>
  <r>
    <n v="991"/>
    <n v="26"/>
    <n v="12"/>
    <n v="2023"/>
    <d v="2023-12-26T00:00:00"/>
    <s v="CUST991"/>
    <x v="1"/>
    <x v="0"/>
    <n v="34"/>
    <x v="1"/>
    <n v="2"/>
    <n v="50"/>
    <n v="100"/>
    <n v="1.5"/>
    <n v="2"/>
  </r>
  <r>
    <n v="992"/>
    <n v="21"/>
    <n v="8"/>
    <n v="2023"/>
    <d v="2023-08-21T00:00:00"/>
    <s v="CUST992"/>
    <x v="1"/>
    <x v="2"/>
    <n v="57"/>
    <x v="2"/>
    <n v="2"/>
    <n v="30"/>
    <n v="60"/>
    <n v="0.89999999999999991"/>
    <n v="1.2"/>
  </r>
  <r>
    <n v="993"/>
    <n v="6"/>
    <n v="2"/>
    <n v="2023"/>
    <d v="2023-02-06T00:00:00"/>
    <s v="CUST993"/>
    <x v="1"/>
    <x v="0"/>
    <n v="48"/>
    <x v="2"/>
    <n v="3"/>
    <n v="50"/>
    <n v="150"/>
    <n v="2.25"/>
    <n v="3"/>
  </r>
  <r>
    <n v="994"/>
    <n v="18"/>
    <n v="12"/>
    <n v="2023"/>
    <d v="2023-12-18T00:00:00"/>
    <s v="CUST994"/>
    <x v="1"/>
    <x v="2"/>
    <n v="51"/>
    <x v="0"/>
    <n v="2"/>
    <n v="500"/>
    <n v="1000"/>
    <n v="15"/>
    <n v="20"/>
  </r>
  <r>
    <n v="995"/>
    <n v="30"/>
    <n v="4"/>
    <n v="2023"/>
    <d v="2023-04-30T00:00:00"/>
    <s v="CUST995"/>
    <x v="1"/>
    <x v="0"/>
    <n v="41"/>
    <x v="1"/>
    <n v="1"/>
    <n v="30"/>
    <n v="30"/>
    <n v="0.44999999999999996"/>
    <n v="0.6"/>
  </r>
  <r>
    <n v="996"/>
    <n v="16"/>
    <n v="5"/>
    <n v="2023"/>
    <d v="2023-05-16T00:00:00"/>
    <s v="CUST996"/>
    <x v="0"/>
    <x v="2"/>
    <n v="62"/>
    <x v="1"/>
    <n v="1"/>
    <n v="50"/>
    <n v="50"/>
    <n v="0.75"/>
    <n v="1"/>
  </r>
  <r>
    <n v="997"/>
    <n v="17"/>
    <n v="11"/>
    <n v="2023"/>
    <d v="2023-11-17T00:00:00"/>
    <s v="CUST997"/>
    <x v="0"/>
    <x v="2"/>
    <n v="52"/>
    <x v="0"/>
    <n v="3"/>
    <n v="30"/>
    <n v="90"/>
    <n v="1.3499999999999999"/>
    <n v="1.8"/>
  </r>
  <r>
    <n v="998"/>
    <n v="29"/>
    <n v="10"/>
    <n v="2023"/>
    <d v="2023-10-29T00:00:00"/>
    <s v="CUST998"/>
    <x v="1"/>
    <x v="1"/>
    <n v="23"/>
    <x v="0"/>
    <n v="4"/>
    <n v="25"/>
    <n v="100"/>
    <n v="1.5"/>
    <n v="2"/>
  </r>
  <r>
    <n v="999"/>
    <n v="5"/>
    <n v="12"/>
    <n v="2023"/>
    <d v="2023-12-05T00:00:00"/>
    <s v="CUST999"/>
    <x v="1"/>
    <x v="0"/>
    <n v="36"/>
    <x v="2"/>
    <n v="3"/>
    <n v="50"/>
    <n v="150"/>
    <n v="2.25"/>
    <n v="3"/>
  </r>
  <r>
    <n v="1000"/>
    <n v="12"/>
    <n v="4"/>
    <n v="2023"/>
    <d v="2023-04-12T00:00:00"/>
    <s v="CUST1000"/>
    <x v="0"/>
    <x v="0"/>
    <n v="47"/>
    <x v="2"/>
    <n v="4"/>
    <n v="30"/>
    <n v="120"/>
    <n v="1.7999999999999998"/>
    <n v="2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991DCC-FFA0-4E62-9092-45683CFA1986}" name="PivotTable1" cacheId="17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3:E7" firstHeaderRow="1" firstDataRow="2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axis="axisCol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dataField="1" compact="0" outline="0" showAll="0"/>
    <pivotField compact="0" numFmtId="164" outline="0" showAll="0"/>
    <pivotField compact="0" outline="0" showAll="0"/>
  </pivotFields>
  <rowFields count="1">
    <field x="6"/>
  </rowFields>
  <rowItems count="3">
    <i>
      <x/>
    </i>
    <i>
      <x v="1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Sum of Sales" fld="12" showDataAs="percentOfTotal" baseField="0" baseItem="0" numFmtId="10"/>
  </dataFields>
  <chartFormats count="3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EE11C9-13B6-4BB9-9C44-0D9D56BE9CBC}" name="PivotTable2" cacheId="17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2:E7" firstHeaderRow="1" firstDataRow="2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>
      <items count="3">
        <item x="1"/>
        <item x="0"/>
        <item t="default"/>
      </items>
    </pivotField>
    <pivotField axis="axisRow" compact="0" outline="0" showAll="0">
      <items count="4">
        <item x="0"/>
        <item x="2"/>
        <item x="1"/>
        <item t="default"/>
      </items>
    </pivotField>
    <pivotField compact="0" outline="0" showAll="0"/>
    <pivotField axis="axisCol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dataField="1" compact="0" outline="0" showAll="0"/>
    <pivotField compact="0" numFmtId="164" outline="0" showAll="0"/>
    <pivotField compact="0" outline="0"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Sum of Sales" fld="12" baseField="0" baseItem="0"/>
  </dataFields>
  <chartFormats count="12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Gender" xr10:uid="{11E110FD-B350-4DC2-9210-A1D4BA32B7FC}" sourceName="Gender">
  <pivotTables>
    <pivotTable tabId="4" name="PivotTable2"/>
  </pivotTables>
  <data>
    <tabular pivotCacheId="60547518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Generation" xr10:uid="{066CFC03-45E5-4E6B-B3D6-BDF8D737C360}" sourceName="Generation">
  <pivotTables>
    <pivotTable tabId="4" name="PivotTable2"/>
  </pivotTables>
  <data>
    <tabular pivotCacheId="605475188">
      <items count="3">
        <i x="0" s="1"/>
        <i x="2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_Category" xr10:uid="{7CEC303A-2615-4AE4-8F6B-B78A51A1E28F}" sourceName="Product Category">
  <pivotTables>
    <pivotTable tabId="4" name="PivotTable2"/>
  </pivotTables>
  <data>
    <tabular pivotCacheId="605475188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Gender" xr10:uid="{7AE335D0-2762-4387-B0A5-310E297C90A6}" cache="Slicer_Gender" caption="Gender" rowHeight="228600"/>
  <slicer name="Generation" xr10:uid="{4E558E51-9E89-44CD-9540-AE6F6A4B04DB}" cache="Slicer_Generation" caption="Generation" rowHeight="228600"/>
  <slicer name="Product Category" xr10:uid="{42430E63-4077-465D-8F51-E6E9AD4DD0E5}" cache="Slicer_Product_Category" caption="Product Category" rowHeight="2286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1"/>
  <sheetViews>
    <sheetView tabSelected="1" zoomScaleNormal="100" workbookViewId="0">
      <selection activeCell="V3" sqref="V3"/>
    </sheetView>
  </sheetViews>
  <sheetFormatPr defaultColWidth="11.25" defaultRowHeight="15.75"/>
  <cols>
    <col min="1" max="1" width="14.75" customWidth="1"/>
    <col min="2" max="4" width="14.75" hidden="1" customWidth="1"/>
    <col min="5" max="5" width="10.5" hidden="1" customWidth="1"/>
    <col min="6" max="6" width="13" hidden="1" customWidth="1"/>
    <col min="8" max="8" width="12.375" bestFit="1" customWidth="1"/>
    <col min="10" max="10" width="17.125" customWidth="1"/>
    <col min="12" max="12" width="14.125" customWidth="1"/>
    <col min="14" max="14" width="14.75" style="15" hidden="1" customWidth="1"/>
    <col min="15" max="15" width="14.75" hidden="1" customWidth="1"/>
    <col min="16" max="16" width="18.625" hidden="1" customWidth="1"/>
    <col min="17" max="19" width="0" hidden="1" customWidth="1"/>
    <col min="20" max="20" width="12.625" hidden="1" customWidth="1"/>
  </cols>
  <sheetData>
    <row r="1" spans="1:22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2" t="s">
        <v>11</v>
      </c>
      <c r="M1" s="12" t="s">
        <v>12</v>
      </c>
      <c r="N1" s="12" t="s">
        <v>13</v>
      </c>
      <c r="O1" s="12" t="s">
        <v>14</v>
      </c>
    </row>
    <row r="2" spans="1:22">
      <c r="A2" s="2">
        <v>1</v>
      </c>
      <c r="B2" s="4">
        <f t="shared" ref="B2:B66" si="0">DAY(E2)</f>
        <v>24</v>
      </c>
      <c r="C2" s="4">
        <f>MONTH(E2)</f>
        <v>11</v>
      </c>
      <c r="D2" s="4">
        <f>YEAR(E2)</f>
        <v>2023</v>
      </c>
      <c r="E2" s="3">
        <v>45254</v>
      </c>
      <c r="F2" s="4" t="s">
        <v>15</v>
      </c>
      <c r="G2" s="4" t="s">
        <v>16</v>
      </c>
      <c r="H2" s="4" t="str" cm="1">
        <f t="array" ref="H2">_xlfn.IFS(I2&lt;30, "Young Adult", I2&gt;=50, "Senior", I2&gt;=30, "Adult")</f>
        <v>Adult</v>
      </c>
      <c r="I2" s="4">
        <v>34</v>
      </c>
      <c r="J2" s="4" t="s">
        <v>17</v>
      </c>
      <c r="K2" s="4">
        <v>3</v>
      </c>
      <c r="L2" s="5">
        <v>50</v>
      </c>
      <c r="M2" s="5">
        <f xml:space="preserve"> K2 * L2</f>
        <v>150</v>
      </c>
      <c r="N2" s="5">
        <f>M2 * $Q$4</f>
        <v>2.25</v>
      </c>
      <c r="O2" s="5">
        <f>M2* $Q$5</f>
        <v>3</v>
      </c>
    </row>
    <row r="3" spans="1:22">
      <c r="A3" s="2">
        <v>2</v>
      </c>
      <c r="B3" s="4">
        <f t="shared" si="0"/>
        <v>27</v>
      </c>
      <c r="C3" s="4">
        <f t="shared" ref="C3:C66" si="1">MONTH(E3)</f>
        <v>2</v>
      </c>
      <c r="D3" s="4">
        <f t="shared" ref="D3:D66" si="2">YEAR(E3)</f>
        <v>2023</v>
      </c>
      <c r="E3" s="3">
        <v>44984</v>
      </c>
      <c r="F3" s="4" t="s">
        <v>18</v>
      </c>
      <c r="G3" s="4" t="s">
        <v>19</v>
      </c>
      <c r="H3" s="4" t="str" cm="1">
        <f t="array" ref="H3">_xlfn.IFS(I3&lt;30, "Young Adult", I3&gt;=50, "Senior", I3&gt;=30, "Adult")</f>
        <v>Young Adult</v>
      </c>
      <c r="I3" s="4">
        <v>26</v>
      </c>
      <c r="J3" s="4" t="s">
        <v>20</v>
      </c>
      <c r="K3" s="4">
        <v>2</v>
      </c>
      <c r="L3" s="5">
        <v>500</v>
      </c>
      <c r="M3" s="5">
        <f>K3 * L3</f>
        <v>1000</v>
      </c>
      <c r="N3" s="5">
        <f>M3 * $Q$4</f>
        <v>15</v>
      </c>
      <c r="O3" s="5">
        <f>M3* $Q$5</f>
        <v>20</v>
      </c>
      <c r="Q3" t="s">
        <v>21</v>
      </c>
      <c r="V3" t="s">
        <v>22</v>
      </c>
    </row>
    <row r="4" spans="1:22">
      <c r="A4" s="2">
        <v>3</v>
      </c>
      <c r="B4" s="4">
        <f t="shared" si="0"/>
        <v>13</v>
      </c>
      <c r="C4" s="4">
        <f t="shared" si="1"/>
        <v>1</v>
      </c>
      <c r="D4" s="4">
        <f t="shared" si="2"/>
        <v>2023</v>
      </c>
      <c r="E4" s="3">
        <v>44939</v>
      </c>
      <c r="F4" s="4" t="s">
        <v>23</v>
      </c>
      <c r="G4" s="4" t="s">
        <v>16</v>
      </c>
      <c r="H4" s="4" t="str" cm="1">
        <f t="array" ref="H4">_xlfn.IFS(I4&lt;30, "Young Adult", I4&gt;=50, "Senior", I4&gt;=30, "Adult")</f>
        <v>Senior</v>
      </c>
      <c r="I4" s="4">
        <v>50</v>
      </c>
      <c r="J4" s="4" t="s">
        <v>24</v>
      </c>
      <c r="K4" s="4">
        <v>1</v>
      </c>
      <c r="L4" s="5">
        <v>30</v>
      </c>
      <c r="M4" s="5">
        <f>K4 * L4</f>
        <v>30</v>
      </c>
      <c r="N4" s="5">
        <f>M4 * $Q$4</f>
        <v>0.44999999999999996</v>
      </c>
      <c r="O4" s="5">
        <f>M4* $Q$5</f>
        <v>0.6</v>
      </c>
      <c r="P4" t="s">
        <v>25</v>
      </c>
      <c r="Q4" s="13">
        <v>1.4999999999999999E-2</v>
      </c>
    </row>
    <row r="5" spans="1:22">
      <c r="A5" s="2">
        <v>4</v>
      </c>
      <c r="B5" s="4">
        <f t="shared" si="0"/>
        <v>21</v>
      </c>
      <c r="C5" s="4">
        <f t="shared" si="1"/>
        <v>5</v>
      </c>
      <c r="D5" s="4">
        <f t="shared" si="2"/>
        <v>2023</v>
      </c>
      <c r="E5" s="3">
        <v>45067</v>
      </c>
      <c r="F5" s="4" t="s">
        <v>26</v>
      </c>
      <c r="G5" s="4" t="s">
        <v>16</v>
      </c>
      <c r="H5" s="4" t="str" cm="1">
        <f t="array" ref="H5">_xlfn.IFS(I5&lt;30, "Young Adult", I5&gt;=50, "Senior", I5&gt;=30, "Adult")</f>
        <v>Adult</v>
      </c>
      <c r="I5" s="4">
        <v>37</v>
      </c>
      <c r="J5" s="4" t="s">
        <v>20</v>
      </c>
      <c r="K5" s="4">
        <v>1</v>
      </c>
      <c r="L5" s="5">
        <v>500</v>
      </c>
      <c r="M5" s="5">
        <f>K5 * L5</f>
        <v>500</v>
      </c>
      <c r="N5" s="5">
        <f>M5 * $Q$4</f>
        <v>7.5</v>
      </c>
      <c r="O5" s="5">
        <f>M5* $Q$5</f>
        <v>10</v>
      </c>
      <c r="P5" t="s">
        <v>27</v>
      </c>
      <c r="Q5" s="14">
        <v>0.02</v>
      </c>
    </row>
    <row r="6" spans="1:22">
      <c r="A6" s="2">
        <v>5</v>
      </c>
      <c r="B6" s="4">
        <f t="shared" si="0"/>
        <v>6</v>
      </c>
      <c r="C6" s="4">
        <f t="shared" si="1"/>
        <v>5</v>
      </c>
      <c r="D6" s="4">
        <f t="shared" si="2"/>
        <v>2023</v>
      </c>
      <c r="E6" s="3">
        <v>45052</v>
      </c>
      <c r="F6" s="4" t="s">
        <v>28</v>
      </c>
      <c r="G6" s="4" t="s">
        <v>16</v>
      </c>
      <c r="H6" s="4" t="str" cm="1">
        <f t="array" ref="H6">_xlfn.IFS(I6&lt;30, "Young Adult", I6&gt;=50, "Senior", I6&gt;=30, "Adult")</f>
        <v>Adult</v>
      </c>
      <c r="I6" s="4">
        <v>30</v>
      </c>
      <c r="J6" s="4" t="s">
        <v>17</v>
      </c>
      <c r="K6" s="4">
        <v>2</v>
      </c>
      <c r="L6" s="5">
        <v>50</v>
      </c>
      <c r="M6" s="5">
        <f>K6 * L6</f>
        <v>100</v>
      </c>
      <c r="N6" s="5">
        <f>M6 * $Q$4</f>
        <v>1.5</v>
      </c>
      <c r="O6" s="5">
        <f>M6* $Q$5</f>
        <v>2</v>
      </c>
    </row>
    <row r="7" spans="1:22">
      <c r="A7" s="2">
        <v>6</v>
      </c>
      <c r="B7" s="4">
        <f t="shared" si="0"/>
        <v>25</v>
      </c>
      <c r="C7" s="4">
        <f t="shared" si="1"/>
        <v>4</v>
      </c>
      <c r="D7" s="4">
        <f t="shared" si="2"/>
        <v>2023</v>
      </c>
      <c r="E7" s="3">
        <v>45041</v>
      </c>
      <c r="F7" s="4" t="s">
        <v>29</v>
      </c>
      <c r="G7" s="4" t="s">
        <v>19</v>
      </c>
      <c r="H7" s="4" t="str" cm="1">
        <f t="array" ref="H7">_xlfn.IFS(I7&lt;30, "Young Adult", I7&gt;=50, "Senior", I7&gt;=30, "Adult")</f>
        <v>Adult</v>
      </c>
      <c r="I7" s="4">
        <v>45</v>
      </c>
      <c r="J7" s="4" t="s">
        <v>17</v>
      </c>
      <c r="K7" s="4">
        <v>1</v>
      </c>
      <c r="L7" s="5">
        <v>30</v>
      </c>
      <c r="M7" s="5">
        <f>K7 * L7</f>
        <v>30</v>
      </c>
      <c r="N7" s="5">
        <f>M7 * $Q$4</f>
        <v>0.44999999999999996</v>
      </c>
      <c r="O7" s="5">
        <f>M7* $Q$5</f>
        <v>0.6</v>
      </c>
    </row>
    <row r="8" spans="1:22">
      <c r="A8" s="2">
        <v>7</v>
      </c>
      <c r="B8" s="4">
        <f t="shared" si="0"/>
        <v>13</v>
      </c>
      <c r="C8" s="4">
        <f t="shared" si="1"/>
        <v>3</v>
      </c>
      <c r="D8" s="4">
        <f t="shared" si="2"/>
        <v>2023</v>
      </c>
      <c r="E8" s="3">
        <v>44998</v>
      </c>
      <c r="F8" s="4" t="s">
        <v>30</v>
      </c>
      <c r="G8" s="4" t="s">
        <v>16</v>
      </c>
      <c r="H8" s="4" t="str" cm="1">
        <f t="array" ref="H8">_xlfn.IFS(I8&lt;30, "Young Adult", I8&gt;=50, "Senior", I8&gt;=30, "Adult")</f>
        <v>Adult</v>
      </c>
      <c r="I8" s="4">
        <v>46</v>
      </c>
      <c r="J8" s="4" t="s">
        <v>20</v>
      </c>
      <c r="K8" s="4">
        <v>2</v>
      </c>
      <c r="L8" s="5">
        <v>25</v>
      </c>
      <c r="M8" s="5">
        <f>K8 * L8</f>
        <v>50</v>
      </c>
      <c r="N8" s="5">
        <f>M8 * $Q$4</f>
        <v>0.75</v>
      </c>
      <c r="O8" s="5">
        <f>M8* $Q$5</f>
        <v>1</v>
      </c>
    </row>
    <row r="9" spans="1:22">
      <c r="A9" s="2">
        <v>8</v>
      </c>
      <c r="B9" s="4">
        <f t="shared" si="0"/>
        <v>22</v>
      </c>
      <c r="C9" s="4">
        <f t="shared" si="1"/>
        <v>2</v>
      </c>
      <c r="D9" s="4">
        <f t="shared" si="2"/>
        <v>2023</v>
      </c>
      <c r="E9" s="3">
        <v>44979</v>
      </c>
      <c r="F9" s="4" t="s">
        <v>31</v>
      </c>
      <c r="G9" s="4" t="s">
        <v>16</v>
      </c>
      <c r="H9" s="4" t="str" cm="1">
        <f t="array" ref="H9">_xlfn.IFS(I9&lt;30, "Young Adult", I9&gt;=50, "Senior", I9&gt;=30, "Adult")</f>
        <v>Adult</v>
      </c>
      <c r="I9" s="4">
        <v>30</v>
      </c>
      <c r="J9" s="4" t="s">
        <v>24</v>
      </c>
      <c r="K9" s="4">
        <v>4</v>
      </c>
      <c r="L9" s="5">
        <v>25</v>
      </c>
      <c r="M9" s="5">
        <f>K9 * L9</f>
        <v>100</v>
      </c>
      <c r="N9" s="5">
        <f>M9 * $Q$4</f>
        <v>1.5</v>
      </c>
      <c r="O9" s="5">
        <f>M9* $Q$5</f>
        <v>2</v>
      </c>
      <c r="Q9" s="17" t="s">
        <v>32</v>
      </c>
      <c r="R9" s="21" t="s">
        <v>10</v>
      </c>
      <c r="S9" s="21"/>
      <c r="T9" t="s">
        <v>33</v>
      </c>
    </row>
    <row r="10" spans="1:22">
      <c r="A10" s="2">
        <v>9</v>
      </c>
      <c r="B10" s="4">
        <f t="shared" si="0"/>
        <v>13</v>
      </c>
      <c r="C10" s="4">
        <f t="shared" si="1"/>
        <v>12</v>
      </c>
      <c r="D10" s="4">
        <f t="shared" si="2"/>
        <v>2023</v>
      </c>
      <c r="E10" s="3">
        <v>45273</v>
      </c>
      <c r="F10" s="4" t="s">
        <v>34</v>
      </c>
      <c r="G10" s="4" t="s">
        <v>16</v>
      </c>
      <c r="H10" s="4" t="str" cm="1">
        <f t="array" ref="H10">_xlfn.IFS(I10&lt;30, "Young Adult", I10&gt;=50, "Senior", I10&gt;=30, "Adult")</f>
        <v>Senior</v>
      </c>
      <c r="I10" s="4">
        <v>63</v>
      </c>
      <c r="J10" s="4" t="s">
        <v>24</v>
      </c>
      <c r="K10" s="4">
        <v>2</v>
      </c>
      <c r="L10" s="5">
        <v>300</v>
      </c>
      <c r="M10" s="5">
        <f>K10 * L10</f>
        <v>600</v>
      </c>
      <c r="N10" s="5">
        <f>M10 * $Q$4</f>
        <v>9</v>
      </c>
      <c r="O10" s="5">
        <f>M10* $Q$5</f>
        <v>12</v>
      </c>
      <c r="P10" t="s">
        <v>35</v>
      </c>
      <c r="Q10">
        <f>SUM(M2:M1001)</f>
        <v>456000</v>
      </c>
      <c r="R10" t="s">
        <v>16</v>
      </c>
      <c r="S10" t="s">
        <v>19</v>
      </c>
      <c r="T10">
        <f>AVERAGE(M:M)</f>
        <v>456</v>
      </c>
    </row>
    <row r="11" spans="1:22">
      <c r="A11" s="2">
        <v>10</v>
      </c>
      <c r="B11" s="4">
        <f t="shared" si="0"/>
        <v>7</v>
      </c>
      <c r="C11" s="4">
        <f t="shared" si="1"/>
        <v>10</v>
      </c>
      <c r="D11" s="4">
        <f t="shared" si="2"/>
        <v>2023</v>
      </c>
      <c r="E11" s="3">
        <v>45206</v>
      </c>
      <c r="F11" s="4" t="s">
        <v>36</v>
      </c>
      <c r="G11" s="4" t="s">
        <v>19</v>
      </c>
      <c r="H11" s="4" t="str" cm="1">
        <f t="array" ref="H11">_xlfn.IFS(I11&lt;30, "Young Adult", I11&gt;=50, "Senior", I11&gt;=30, "Adult")</f>
        <v>Senior</v>
      </c>
      <c r="I11" s="4">
        <v>52</v>
      </c>
      <c r="J11" s="4" t="s">
        <v>20</v>
      </c>
      <c r="K11" s="4">
        <v>4</v>
      </c>
      <c r="L11" s="5">
        <v>50</v>
      </c>
      <c r="M11" s="5">
        <f>K11 * L11</f>
        <v>200</v>
      </c>
      <c r="N11" s="5">
        <f>M11 * $Q$4</f>
        <v>3</v>
      </c>
      <c r="O11" s="5">
        <f>M11* $Q$5</f>
        <v>4</v>
      </c>
      <c r="P11" t="s">
        <v>20</v>
      </c>
      <c r="Q11">
        <f>SUMIF(J:J, "Clothing", M:M)</f>
        <v>155580</v>
      </c>
      <c r="R11">
        <f>SUMIFS(K:K, J:J, "Clothing", G:G, "Male")</f>
        <v>453</v>
      </c>
      <c r="S11">
        <f>SUMIFS(K:K, J:J, "clothing", G:G, "female")</f>
        <v>441</v>
      </c>
      <c r="T11" s="18">
        <f>AVERAGEIF(J:J, "Clothing",M:M)</f>
        <v>443.24786324786322</v>
      </c>
    </row>
    <row r="12" spans="1:22">
      <c r="A12" s="2">
        <v>11</v>
      </c>
      <c r="B12" s="4">
        <f t="shared" si="0"/>
        <v>14</v>
      </c>
      <c r="C12" s="4">
        <f t="shared" si="1"/>
        <v>2</v>
      </c>
      <c r="D12" s="4">
        <f t="shared" si="2"/>
        <v>2023</v>
      </c>
      <c r="E12" s="3">
        <v>44971</v>
      </c>
      <c r="F12" s="4" t="s">
        <v>37</v>
      </c>
      <c r="G12" s="4" t="s">
        <v>16</v>
      </c>
      <c r="H12" s="4" t="str" cm="1">
        <f t="array" ref="H12">_xlfn.IFS(I12&lt;30, "Young Adult", I12&gt;=50, "Senior", I12&gt;=30, "Adult")</f>
        <v>Young Adult</v>
      </c>
      <c r="I12" s="4">
        <v>23</v>
      </c>
      <c r="J12" s="4" t="s">
        <v>20</v>
      </c>
      <c r="K12" s="4">
        <v>2</v>
      </c>
      <c r="L12" s="5">
        <v>50</v>
      </c>
      <c r="M12" s="5">
        <f>K12 * L12</f>
        <v>100</v>
      </c>
      <c r="N12" s="5">
        <f>M12 * $Q$4</f>
        <v>1.5</v>
      </c>
      <c r="O12" s="5">
        <f>M12* $Q$5</f>
        <v>2</v>
      </c>
      <c r="P12" t="s">
        <v>17</v>
      </c>
      <c r="Q12">
        <f>SUMIF( J:J, "Beauty", M:M)</f>
        <v>143515</v>
      </c>
      <c r="R12">
        <f>SUMIFS(K:K, J:J, "Beauty", G:G, "Male")</f>
        <v>353</v>
      </c>
      <c r="S12">
        <f>SUMIFS(K:K,J:J,"beauty",G:G,"female")</f>
        <v>418</v>
      </c>
      <c r="T12" s="18">
        <f>AVERAGEIF(J:J, "Beauty", M:M)</f>
        <v>467.47557003257327</v>
      </c>
    </row>
    <row r="13" spans="1:22">
      <c r="A13" s="2">
        <v>12</v>
      </c>
      <c r="B13" s="4">
        <f t="shared" si="0"/>
        <v>30</v>
      </c>
      <c r="C13" s="4">
        <f t="shared" si="1"/>
        <v>10</v>
      </c>
      <c r="D13" s="4">
        <f t="shared" si="2"/>
        <v>2023</v>
      </c>
      <c r="E13" s="3">
        <v>45229</v>
      </c>
      <c r="F13" s="4" t="s">
        <v>38</v>
      </c>
      <c r="G13" s="4" t="s">
        <v>16</v>
      </c>
      <c r="H13" s="4" t="str" cm="1">
        <f t="array" ref="H13">_xlfn.IFS(I13&lt;30, "Young Adult", I13&gt;=50, "Senior", I13&gt;=30, "Adult")</f>
        <v>Adult</v>
      </c>
      <c r="I13" s="4">
        <v>35</v>
      </c>
      <c r="J13" s="4" t="s">
        <v>17</v>
      </c>
      <c r="K13" s="4">
        <v>3</v>
      </c>
      <c r="L13" s="5">
        <v>25</v>
      </c>
      <c r="M13" s="5">
        <f>K13 * L13</f>
        <v>75</v>
      </c>
      <c r="N13" s="5">
        <f>M13 * $Q$4</f>
        <v>1.125</v>
      </c>
      <c r="O13" s="5">
        <f>M13* $Q$5</f>
        <v>1.5</v>
      </c>
      <c r="P13" t="s">
        <v>24</v>
      </c>
      <c r="Q13">
        <f>SUMIF(J:J,"Electronics",M:M)</f>
        <v>156905</v>
      </c>
      <c r="R13">
        <f>SUMIFS(K:K, G:G, "Male", J:J, "Electronics")</f>
        <v>410</v>
      </c>
      <c r="S13">
        <f>SUMIFS(K:K, J:J, "Electronics", G:G, "Female")</f>
        <v>439</v>
      </c>
      <c r="T13" s="18">
        <f>AVERAGEIF(J:J, "Electronics", M:M)</f>
        <v>458.78654970760232</v>
      </c>
    </row>
    <row r="14" spans="1:22">
      <c r="A14" s="2">
        <v>13</v>
      </c>
      <c r="B14" s="4">
        <f t="shared" si="0"/>
        <v>5</v>
      </c>
      <c r="C14" s="4">
        <f t="shared" si="1"/>
        <v>8</v>
      </c>
      <c r="D14" s="4">
        <f t="shared" si="2"/>
        <v>2023</v>
      </c>
      <c r="E14" s="3">
        <v>45143</v>
      </c>
      <c r="F14" s="4" t="s">
        <v>39</v>
      </c>
      <c r="G14" s="4" t="s">
        <v>16</v>
      </c>
      <c r="H14" s="4" t="str" cm="1">
        <f t="array" ref="H14">_xlfn.IFS(I14&lt;30, "Young Adult", I14&gt;=50, "Senior", I14&gt;=30, "Adult")</f>
        <v>Young Adult</v>
      </c>
      <c r="I14" s="4">
        <v>22</v>
      </c>
      <c r="J14" s="4" t="s">
        <v>24</v>
      </c>
      <c r="K14" s="4">
        <v>3</v>
      </c>
      <c r="L14" s="5">
        <v>500</v>
      </c>
      <c r="M14" s="5">
        <f>K14 * L14</f>
        <v>1500</v>
      </c>
      <c r="N14" s="5">
        <f>M14 * $Q$4</f>
        <v>22.5</v>
      </c>
      <c r="O14" s="5">
        <f>M14* $Q$5</f>
        <v>30</v>
      </c>
      <c r="P14" s="15"/>
      <c r="Q14" s="16"/>
    </row>
    <row r="15" spans="1:22">
      <c r="A15" s="2">
        <v>14</v>
      </c>
      <c r="B15" s="4">
        <f t="shared" si="0"/>
        <v>17</v>
      </c>
      <c r="C15" s="4">
        <f t="shared" si="1"/>
        <v>1</v>
      </c>
      <c r="D15" s="4">
        <f t="shared" si="2"/>
        <v>2023</v>
      </c>
      <c r="E15" s="3">
        <v>44943</v>
      </c>
      <c r="F15" s="4" t="s">
        <v>40</v>
      </c>
      <c r="G15" s="4" t="s">
        <v>16</v>
      </c>
      <c r="H15" s="4" t="str" cm="1">
        <f t="array" ref="H15">_xlfn.IFS(I15&lt;30, "Young Adult", I15&gt;=50, "Senior", I15&gt;=30, "Adult")</f>
        <v>Senior</v>
      </c>
      <c r="I15" s="4">
        <v>64</v>
      </c>
      <c r="J15" s="4" t="s">
        <v>20</v>
      </c>
      <c r="K15" s="4">
        <v>4</v>
      </c>
      <c r="L15" s="5">
        <v>30</v>
      </c>
      <c r="M15" s="5">
        <f>K15 * L15</f>
        <v>120</v>
      </c>
      <c r="N15" s="5">
        <f>M15 * $Q$4</f>
        <v>1.7999999999999998</v>
      </c>
      <c r="O15" s="5">
        <f>M15* $Q$5</f>
        <v>2.4</v>
      </c>
      <c r="P15" s="15"/>
    </row>
    <row r="16" spans="1:22">
      <c r="A16" s="2">
        <v>15</v>
      </c>
      <c r="B16" s="4">
        <f t="shared" si="0"/>
        <v>16</v>
      </c>
      <c r="C16" s="4">
        <f t="shared" si="1"/>
        <v>1</v>
      </c>
      <c r="D16" s="4">
        <f t="shared" si="2"/>
        <v>2023</v>
      </c>
      <c r="E16" s="3">
        <v>44942</v>
      </c>
      <c r="F16" s="4" t="s">
        <v>41</v>
      </c>
      <c r="G16" s="4" t="s">
        <v>19</v>
      </c>
      <c r="H16" s="4" t="str" cm="1">
        <f t="array" ref="H16">_xlfn.IFS(I16&lt;30, "Young Adult", I16&gt;=50, "Senior", I16&gt;=30, "Adult")</f>
        <v>Adult</v>
      </c>
      <c r="I16" s="4">
        <v>42</v>
      </c>
      <c r="J16" s="4" t="s">
        <v>24</v>
      </c>
      <c r="K16" s="4">
        <v>4</v>
      </c>
      <c r="L16" s="5">
        <v>500</v>
      </c>
      <c r="M16" s="5">
        <f>K16 * L16</f>
        <v>2000</v>
      </c>
      <c r="N16" s="5">
        <f>M16 * $Q$4</f>
        <v>30</v>
      </c>
      <c r="O16" s="5">
        <f>M16* $Q$5</f>
        <v>40</v>
      </c>
    </row>
    <row r="17" spans="1:15">
      <c r="A17" s="2">
        <v>16</v>
      </c>
      <c r="B17" s="4">
        <f t="shared" si="0"/>
        <v>17</v>
      </c>
      <c r="C17" s="4">
        <f t="shared" si="1"/>
        <v>2</v>
      </c>
      <c r="D17" s="4">
        <f t="shared" si="2"/>
        <v>2023</v>
      </c>
      <c r="E17" s="3">
        <v>44974</v>
      </c>
      <c r="F17" s="4" t="s">
        <v>42</v>
      </c>
      <c r="G17" s="4" t="s">
        <v>16</v>
      </c>
      <c r="H17" s="4" t="str" cm="1">
        <f t="array" ref="H17">_xlfn.IFS(I17&lt;30, "Young Adult", I17&gt;=50, "Senior", I17&gt;=30, "Adult")</f>
        <v>Young Adult</v>
      </c>
      <c r="I17" s="4">
        <v>19</v>
      </c>
      <c r="J17" s="4" t="s">
        <v>20</v>
      </c>
      <c r="K17" s="4">
        <v>3</v>
      </c>
      <c r="L17" s="5">
        <v>500</v>
      </c>
      <c r="M17" s="5">
        <f>K17 * L17</f>
        <v>1500</v>
      </c>
      <c r="N17" s="5">
        <f>M17 * $Q$4</f>
        <v>22.5</v>
      </c>
      <c r="O17" s="5">
        <f>M17* $Q$5</f>
        <v>30</v>
      </c>
    </row>
    <row r="18" spans="1:15">
      <c r="A18" s="2">
        <v>17</v>
      </c>
      <c r="B18" s="4">
        <f t="shared" si="0"/>
        <v>22</v>
      </c>
      <c r="C18" s="4">
        <f t="shared" si="1"/>
        <v>4</v>
      </c>
      <c r="D18" s="4">
        <f t="shared" si="2"/>
        <v>2023</v>
      </c>
      <c r="E18" s="3">
        <v>45038</v>
      </c>
      <c r="F18" s="4" t="s">
        <v>43</v>
      </c>
      <c r="G18" s="4" t="s">
        <v>19</v>
      </c>
      <c r="H18" s="4" t="str" cm="1">
        <f t="array" ref="H18">_xlfn.IFS(I18&lt;30, "Young Adult", I18&gt;=50, "Senior", I18&gt;=30, "Adult")</f>
        <v>Young Adult</v>
      </c>
      <c r="I18" s="4">
        <v>27</v>
      </c>
      <c r="J18" s="4" t="s">
        <v>20</v>
      </c>
      <c r="K18" s="4">
        <v>4</v>
      </c>
      <c r="L18" s="5">
        <v>25</v>
      </c>
      <c r="M18" s="5">
        <f>K18 * L18</f>
        <v>100</v>
      </c>
      <c r="N18" s="5">
        <f>M18 * $Q$4</f>
        <v>1.5</v>
      </c>
      <c r="O18" s="5">
        <f>M18* $Q$5</f>
        <v>2</v>
      </c>
    </row>
    <row r="19" spans="1:15">
      <c r="A19" s="2">
        <v>18</v>
      </c>
      <c r="B19" s="4">
        <f t="shared" si="0"/>
        <v>30</v>
      </c>
      <c r="C19" s="4">
        <f t="shared" si="1"/>
        <v>4</v>
      </c>
      <c r="D19" s="4">
        <f t="shared" si="2"/>
        <v>2023</v>
      </c>
      <c r="E19" s="3">
        <v>45046</v>
      </c>
      <c r="F19" s="4" t="s">
        <v>44</v>
      </c>
      <c r="G19" s="4" t="s">
        <v>19</v>
      </c>
      <c r="H19" s="4" t="str" cm="1">
        <f t="array" ref="H19">_xlfn.IFS(I19&lt;30, "Young Adult", I19&gt;=50, "Senior", I19&gt;=30, "Adult")</f>
        <v>Adult</v>
      </c>
      <c r="I19" s="4">
        <v>47</v>
      </c>
      <c r="J19" s="4" t="s">
        <v>24</v>
      </c>
      <c r="K19" s="4">
        <v>2</v>
      </c>
      <c r="L19" s="5">
        <v>25</v>
      </c>
      <c r="M19" s="5">
        <f>K19 * L19</f>
        <v>50</v>
      </c>
      <c r="N19" s="5">
        <f>M19 * $Q$4</f>
        <v>0.75</v>
      </c>
      <c r="O19" s="5">
        <f>M19* $Q$5</f>
        <v>1</v>
      </c>
    </row>
    <row r="20" spans="1:15">
      <c r="A20" s="2">
        <v>19</v>
      </c>
      <c r="B20" s="4">
        <f t="shared" si="0"/>
        <v>16</v>
      </c>
      <c r="C20" s="4">
        <f t="shared" si="1"/>
        <v>9</v>
      </c>
      <c r="D20" s="4">
        <f t="shared" si="2"/>
        <v>2023</v>
      </c>
      <c r="E20" s="3">
        <v>45185</v>
      </c>
      <c r="F20" s="4" t="s">
        <v>45</v>
      </c>
      <c r="G20" s="4" t="s">
        <v>19</v>
      </c>
      <c r="H20" s="4" t="str" cm="1">
        <f t="array" ref="H20">_xlfn.IFS(I20&lt;30, "Young Adult", I20&gt;=50, "Senior", I20&gt;=30, "Adult")</f>
        <v>Senior</v>
      </c>
      <c r="I20" s="4">
        <v>62</v>
      </c>
      <c r="J20" s="4" t="s">
        <v>20</v>
      </c>
      <c r="K20" s="4">
        <v>2</v>
      </c>
      <c r="L20" s="5">
        <v>25</v>
      </c>
      <c r="M20" s="5">
        <f>K20 * L20</f>
        <v>50</v>
      </c>
      <c r="N20" s="5">
        <f>M20 * $Q$4</f>
        <v>0.75</v>
      </c>
      <c r="O20" s="5">
        <f>M20* $Q$5</f>
        <v>1</v>
      </c>
    </row>
    <row r="21" spans="1:15">
      <c r="A21" s="2">
        <v>20</v>
      </c>
      <c r="B21" s="4">
        <f t="shared" si="0"/>
        <v>5</v>
      </c>
      <c r="C21" s="4">
        <f t="shared" si="1"/>
        <v>11</v>
      </c>
      <c r="D21" s="4">
        <f t="shared" si="2"/>
        <v>2023</v>
      </c>
      <c r="E21" s="3">
        <v>45235</v>
      </c>
      <c r="F21" s="4" t="s">
        <v>46</v>
      </c>
      <c r="G21" s="4" t="s">
        <v>16</v>
      </c>
      <c r="H21" s="4" t="str" cm="1">
        <f t="array" ref="H21">_xlfn.IFS(I21&lt;30, "Young Adult", I21&gt;=50, "Senior", I21&gt;=30, "Adult")</f>
        <v>Young Adult</v>
      </c>
      <c r="I21" s="4">
        <v>22</v>
      </c>
      <c r="J21" s="4" t="s">
        <v>20</v>
      </c>
      <c r="K21" s="4">
        <v>3</v>
      </c>
      <c r="L21" s="5">
        <v>300</v>
      </c>
      <c r="M21" s="5">
        <f>K21 * L21</f>
        <v>900</v>
      </c>
      <c r="N21" s="5">
        <f>M21 * $Q$4</f>
        <v>13.5</v>
      </c>
      <c r="O21" s="5">
        <f>M21* $Q$5</f>
        <v>18</v>
      </c>
    </row>
    <row r="22" spans="1:15">
      <c r="A22" s="2">
        <v>21</v>
      </c>
      <c r="B22" s="4">
        <f t="shared" si="0"/>
        <v>14</v>
      </c>
      <c r="C22" s="4">
        <f t="shared" si="1"/>
        <v>1</v>
      </c>
      <c r="D22" s="4">
        <f t="shared" si="2"/>
        <v>2023</v>
      </c>
      <c r="E22" s="3">
        <v>44940</v>
      </c>
      <c r="F22" s="4" t="s">
        <v>47</v>
      </c>
      <c r="G22" s="4" t="s">
        <v>19</v>
      </c>
      <c r="H22" s="4" t="str" cm="1">
        <f t="array" ref="H22">_xlfn.IFS(I22&lt;30, "Young Adult", I22&gt;=50, "Senior", I22&gt;=30, "Adult")</f>
        <v>Senior</v>
      </c>
      <c r="I22" s="4">
        <v>50</v>
      </c>
      <c r="J22" s="4" t="s">
        <v>17</v>
      </c>
      <c r="K22" s="4">
        <v>1</v>
      </c>
      <c r="L22" s="5">
        <v>500</v>
      </c>
      <c r="M22" s="5">
        <f>K22 * L22</f>
        <v>500</v>
      </c>
      <c r="N22" s="5">
        <f>M22 * $Q$4</f>
        <v>7.5</v>
      </c>
      <c r="O22" s="5">
        <f>M22* $Q$5</f>
        <v>10</v>
      </c>
    </row>
    <row r="23" spans="1:15">
      <c r="A23" s="2">
        <v>22</v>
      </c>
      <c r="B23" s="4">
        <f t="shared" si="0"/>
        <v>15</v>
      </c>
      <c r="C23" s="4">
        <f t="shared" si="1"/>
        <v>10</v>
      </c>
      <c r="D23" s="4">
        <f t="shared" si="2"/>
        <v>2023</v>
      </c>
      <c r="E23" s="3">
        <v>45214</v>
      </c>
      <c r="F23" s="4" t="s">
        <v>48</v>
      </c>
      <c r="G23" s="4" t="s">
        <v>16</v>
      </c>
      <c r="H23" s="4" t="str" cm="1">
        <f t="array" ref="H23">_xlfn.IFS(I23&lt;30, "Young Adult", I23&gt;=50, "Senior", I23&gt;=30, "Adult")</f>
        <v>Young Adult</v>
      </c>
      <c r="I23" s="4">
        <v>18</v>
      </c>
      <c r="J23" s="4" t="s">
        <v>20</v>
      </c>
      <c r="K23" s="4">
        <v>2</v>
      </c>
      <c r="L23" s="5">
        <v>50</v>
      </c>
      <c r="M23" s="5">
        <f>K23 * L23</f>
        <v>100</v>
      </c>
      <c r="N23" s="5">
        <f>M23 * $Q$4</f>
        <v>1.5</v>
      </c>
      <c r="O23" s="5">
        <f>M23* $Q$5</f>
        <v>2</v>
      </c>
    </row>
    <row r="24" spans="1:15">
      <c r="A24" s="2">
        <v>23</v>
      </c>
      <c r="B24" s="4">
        <f t="shared" si="0"/>
        <v>12</v>
      </c>
      <c r="C24" s="4">
        <f t="shared" si="1"/>
        <v>4</v>
      </c>
      <c r="D24" s="4">
        <f t="shared" si="2"/>
        <v>2023</v>
      </c>
      <c r="E24" s="3">
        <v>45028</v>
      </c>
      <c r="F24" s="4" t="s">
        <v>49</v>
      </c>
      <c r="G24" s="4" t="s">
        <v>19</v>
      </c>
      <c r="H24" s="4" t="str" cm="1">
        <f t="array" ref="H24">_xlfn.IFS(I24&lt;30, "Young Adult", I24&gt;=50, "Senior", I24&gt;=30, "Adult")</f>
        <v>Adult</v>
      </c>
      <c r="I24" s="4">
        <v>35</v>
      </c>
      <c r="J24" s="4" t="s">
        <v>20</v>
      </c>
      <c r="K24" s="4">
        <v>4</v>
      </c>
      <c r="L24" s="5">
        <v>30</v>
      </c>
      <c r="M24" s="5">
        <f>K24 * L24</f>
        <v>120</v>
      </c>
      <c r="N24" s="5">
        <f>M24 * $Q$4</f>
        <v>1.7999999999999998</v>
      </c>
      <c r="O24" s="5">
        <f>M24* $Q$5</f>
        <v>2.4</v>
      </c>
    </row>
    <row r="25" spans="1:15">
      <c r="A25" s="2">
        <v>24</v>
      </c>
      <c r="B25" s="4">
        <f t="shared" si="0"/>
        <v>29</v>
      </c>
      <c r="C25" s="4">
        <f t="shared" si="1"/>
        <v>11</v>
      </c>
      <c r="D25" s="4">
        <f t="shared" si="2"/>
        <v>2023</v>
      </c>
      <c r="E25" s="3">
        <v>45259</v>
      </c>
      <c r="F25" s="4" t="s">
        <v>50</v>
      </c>
      <c r="G25" s="4" t="s">
        <v>19</v>
      </c>
      <c r="H25" s="4" t="str" cm="1">
        <f t="array" ref="H25">_xlfn.IFS(I25&lt;30, "Young Adult", I25&gt;=50, "Senior", I25&gt;=30, "Adult")</f>
        <v>Adult</v>
      </c>
      <c r="I25" s="4">
        <v>49</v>
      </c>
      <c r="J25" s="4" t="s">
        <v>20</v>
      </c>
      <c r="K25" s="4">
        <v>1</v>
      </c>
      <c r="L25" s="5">
        <v>300</v>
      </c>
      <c r="M25" s="5">
        <f>K25 * L25</f>
        <v>300</v>
      </c>
      <c r="N25" s="5">
        <f>M25 * $Q$4</f>
        <v>4.5</v>
      </c>
      <c r="O25" s="5">
        <f>M25* $Q$5</f>
        <v>6</v>
      </c>
    </row>
    <row r="26" spans="1:15">
      <c r="A26" s="2">
        <v>25</v>
      </c>
      <c r="B26" s="4">
        <f t="shared" si="0"/>
        <v>26</v>
      </c>
      <c r="C26" s="4">
        <f t="shared" si="1"/>
        <v>12</v>
      </c>
      <c r="D26" s="4">
        <f t="shared" si="2"/>
        <v>2023</v>
      </c>
      <c r="E26" s="3">
        <v>45286</v>
      </c>
      <c r="F26" s="4" t="s">
        <v>51</v>
      </c>
      <c r="G26" s="4" t="s">
        <v>19</v>
      </c>
      <c r="H26" s="4" t="str" cm="1">
        <f t="array" ref="H26">_xlfn.IFS(I26&lt;30, "Young Adult", I26&gt;=50, "Senior", I26&gt;=30, "Adult")</f>
        <v>Senior</v>
      </c>
      <c r="I26" s="4">
        <v>64</v>
      </c>
      <c r="J26" s="4" t="s">
        <v>17</v>
      </c>
      <c r="K26" s="4">
        <v>1</v>
      </c>
      <c r="L26" s="5">
        <v>50</v>
      </c>
      <c r="M26" s="5">
        <f>K26 * L26</f>
        <v>50</v>
      </c>
      <c r="N26" s="5">
        <f>M26 * $Q$4</f>
        <v>0.75</v>
      </c>
      <c r="O26" s="5">
        <f>M26* $Q$5</f>
        <v>1</v>
      </c>
    </row>
    <row r="27" spans="1:15">
      <c r="A27" s="2">
        <v>26</v>
      </c>
      <c r="B27" s="4">
        <f t="shared" si="0"/>
        <v>7</v>
      </c>
      <c r="C27" s="4">
        <f t="shared" si="1"/>
        <v>10</v>
      </c>
      <c r="D27" s="4">
        <f t="shared" si="2"/>
        <v>2023</v>
      </c>
      <c r="E27" s="3">
        <v>45206</v>
      </c>
      <c r="F27" s="4" t="s">
        <v>52</v>
      </c>
      <c r="G27" s="4" t="s">
        <v>19</v>
      </c>
      <c r="H27" s="4" t="str" cm="1">
        <f t="array" ref="H27">_xlfn.IFS(I27&lt;30, "Young Adult", I27&gt;=50, "Senior", I27&gt;=30, "Adult")</f>
        <v>Young Adult</v>
      </c>
      <c r="I27" s="4">
        <v>28</v>
      </c>
      <c r="J27" s="4" t="s">
        <v>24</v>
      </c>
      <c r="K27" s="4">
        <v>2</v>
      </c>
      <c r="L27" s="5">
        <v>500</v>
      </c>
      <c r="M27" s="5">
        <f>K27 * L27</f>
        <v>1000</v>
      </c>
      <c r="N27" s="5">
        <f>M27 * $Q$4</f>
        <v>15</v>
      </c>
      <c r="O27" s="5">
        <f>M27* $Q$5</f>
        <v>20</v>
      </c>
    </row>
    <row r="28" spans="1:15">
      <c r="A28" s="2">
        <v>27</v>
      </c>
      <c r="B28" s="4">
        <f t="shared" si="0"/>
        <v>3</v>
      </c>
      <c r="C28" s="4">
        <f t="shared" si="1"/>
        <v>8</v>
      </c>
      <c r="D28" s="4">
        <f t="shared" si="2"/>
        <v>2023</v>
      </c>
      <c r="E28" s="3">
        <v>45141</v>
      </c>
      <c r="F28" s="4" t="s">
        <v>53</v>
      </c>
      <c r="G28" s="4" t="s">
        <v>19</v>
      </c>
      <c r="H28" s="4" t="str" cm="1">
        <f t="array" ref="H28">_xlfn.IFS(I28&lt;30, "Young Adult", I28&gt;=50, "Senior", I28&gt;=30, "Adult")</f>
        <v>Adult</v>
      </c>
      <c r="I28" s="4">
        <v>38</v>
      </c>
      <c r="J28" s="4" t="s">
        <v>17</v>
      </c>
      <c r="K28" s="4">
        <v>2</v>
      </c>
      <c r="L28" s="5">
        <v>25</v>
      </c>
      <c r="M28" s="5">
        <f>K28 * L28</f>
        <v>50</v>
      </c>
      <c r="N28" s="5">
        <f>M28 * $Q$4</f>
        <v>0.75</v>
      </c>
      <c r="O28" s="5">
        <f>M28* $Q$5</f>
        <v>1</v>
      </c>
    </row>
    <row r="29" spans="1:15">
      <c r="A29" s="2">
        <v>28</v>
      </c>
      <c r="B29" s="4">
        <f t="shared" si="0"/>
        <v>23</v>
      </c>
      <c r="C29" s="4">
        <f t="shared" si="1"/>
        <v>4</v>
      </c>
      <c r="D29" s="4">
        <f t="shared" si="2"/>
        <v>2023</v>
      </c>
      <c r="E29" s="3">
        <v>45039</v>
      </c>
      <c r="F29" s="4" t="s">
        <v>54</v>
      </c>
      <c r="G29" s="4" t="s">
        <v>19</v>
      </c>
      <c r="H29" s="4" t="str" cm="1">
        <f t="array" ref="H29">_xlfn.IFS(I29&lt;30, "Young Adult", I29&gt;=50, "Senior", I29&gt;=30, "Adult")</f>
        <v>Adult</v>
      </c>
      <c r="I29" s="4">
        <v>43</v>
      </c>
      <c r="J29" s="4" t="s">
        <v>17</v>
      </c>
      <c r="K29" s="4">
        <v>1</v>
      </c>
      <c r="L29" s="5">
        <v>500</v>
      </c>
      <c r="M29" s="5">
        <f>K29 * L29</f>
        <v>500</v>
      </c>
      <c r="N29" s="5">
        <f>M29 * $Q$4</f>
        <v>7.5</v>
      </c>
      <c r="O29" s="5">
        <f>M29* $Q$5</f>
        <v>10</v>
      </c>
    </row>
    <row r="30" spans="1:15">
      <c r="A30" s="2">
        <v>29</v>
      </c>
      <c r="B30" s="4">
        <f t="shared" si="0"/>
        <v>18</v>
      </c>
      <c r="C30" s="4">
        <f t="shared" si="1"/>
        <v>8</v>
      </c>
      <c r="D30" s="4">
        <f t="shared" si="2"/>
        <v>2023</v>
      </c>
      <c r="E30" s="3">
        <v>45156</v>
      </c>
      <c r="F30" s="4" t="s">
        <v>55</v>
      </c>
      <c r="G30" s="4" t="s">
        <v>19</v>
      </c>
      <c r="H30" s="4" t="str" cm="1">
        <f t="array" ref="H30">_xlfn.IFS(I30&lt;30, "Young Adult", I30&gt;=50, "Senior", I30&gt;=30, "Adult")</f>
        <v>Adult</v>
      </c>
      <c r="I30" s="4">
        <v>42</v>
      </c>
      <c r="J30" s="4" t="s">
        <v>24</v>
      </c>
      <c r="K30" s="4">
        <v>1</v>
      </c>
      <c r="L30" s="5">
        <v>30</v>
      </c>
      <c r="M30" s="5">
        <f>K30 * L30</f>
        <v>30</v>
      </c>
      <c r="N30" s="5">
        <f>M30 * $Q$4</f>
        <v>0.44999999999999996</v>
      </c>
      <c r="O30" s="5">
        <f>M30* $Q$5</f>
        <v>0.6</v>
      </c>
    </row>
    <row r="31" spans="1:15">
      <c r="A31" s="2">
        <v>30</v>
      </c>
      <c r="B31" s="4">
        <f t="shared" si="0"/>
        <v>29</v>
      </c>
      <c r="C31" s="4">
        <f t="shared" si="1"/>
        <v>10</v>
      </c>
      <c r="D31" s="4">
        <f t="shared" si="2"/>
        <v>2023</v>
      </c>
      <c r="E31" s="3">
        <v>45228</v>
      </c>
      <c r="F31" s="4" t="s">
        <v>56</v>
      </c>
      <c r="G31" s="4" t="s">
        <v>19</v>
      </c>
      <c r="H31" s="4" t="str" cm="1">
        <f t="array" ref="H31">_xlfn.IFS(I31&lt;30, "Young Adult", I31&gt;=50, "Senior", I31&gt;=30, "Adult")</f>
        <v>Adult</v>
      </c>
      <c r="I31" s="4">
        <v>39</v>
      </c>
      <c r="J31" s="4" t="s">
        <v>17</v>
      </c>
      <c r="K31" s="4">
        <v>3</v>
      </c>
      <c r="L31" s="5">
        <v>300</v>
      </c>
      <c r="M31" s="5">
        <f>K31 * L31</f>
        <v>900</v>
      </c>
      <c r="N31" s="5">
        <f>M31 * $Q$4</f>
        <v>13.5</v>
      </c>
      <c r="O31" s="5">
        <f>M31* $Q$5</f>
        <v>18</v>
      </c>
    </row>
    <row r="32" spans="1:15">
      <c r="A32" s="2">
        <v>31</v>
      </c>
      <c r="B32" s="4">
        <f t="shared" si="0"/>
        <v>23</v>
      </c>
      <c r="C32" s="4">
        <f t="shared" si="1"/>
        <v>5</v>
      </c>
      <c r="D32" s="4">
        <f t="shared" si="2"/>
        <v>2023</v>
      </c>
      <c r="E32" s="3">
        <v>45069</v>
      </c>
      <c r="F32" s="4" t="s">
        <v>57</v>
      </c>
      <c r="G32" s="4" t="s">
        <v>16</v>
      </c>
      <c r="H32" s="4" t="str" cm="1">
        <f t="array" ref="H32">_xlfn.IFS(I32&lt;30, "Young Adult", I32&gt;=50, "Senior", I32&gt;=30, "Adult")</f>
        <v>Adult</v>
      </c>
      <c r="I32" s="4">
        <v>44</v>
      </c>
      <c r="J32" s="4" t="s">
        <v>24</v>
      </c>
      <c r="K32" s="4">
        <v>4</v>
      </c>
      <c r="L32" s="5">
        <v>300</v>
      </c>
      <c r="M32" s="5">
        <f>K32 * L32</f>
        <v>1200</v>
      </c>
      <c r="N32" s="5">
        <f>M32 * $Q$4</f>
        <v>18</v>
      </c>
      <c r="O32" s="5">
        <f>M32* $Q$5</f>
        <v>24</v>
      </c>
    </row>
    <row r="33" spans="1:15">
      <c r="A33" s="2">
        <v>32</v>
      </c>
      <c r="B33" s="4">
        <f t="shared" si="0"/>
        <v>4</v>
      </c>
      <c r="C33" s="4">
        <f t="shared" si="1"/>
        <v>1</v>
      </c>
      <c r="D33" s="4">
        <f t="shared" si="2"/>
        <v>2023</v>
      </c>
      <c r="E33" s="3">
        <v>44930</v>
      </c>
      <c r="F33" s="4" t="s">
        <v>58</v>
      </c>
      <c r="G33" s="4" t="s">
        <v>16</v>
      </c>
      <c r="H33" s="4" t="str" cm="1">
        <f t="array" ref="H33">_xlfn.IFS(I33&lt;30, "Young Adult", I33&gt;=50, "Senior", I33&gt;=30, "Adult")</f>
        <v>Adult</v>
      </c>
      <c r="I33" s="4">
        <v>30</v>
      </c>
      <c r="J33" s="4" t="s">
        <v>17</v>
      </c>
      <c r="K33" s="4">
        <v>3</v>
      </c>
      <c r="L33" s="5">
        <v>30</v>
      </c>
      <c r="M33" s="5">
        <f>K33 * L33</f>
        <v>90</v>
      </c>
      <c r="N33" s="5">
        <f>M33 * $Q$4</f>
        <v>1.3499999999999999</v>
      </c>
      <c r="O33" s="5">
        <f>M33* $Q$5</f>
        <v>1.8</v>
      </c>
    </row>
    <row r="34" spans="1:15">
      <c r="A34" s="2">
        <v>33</v>
      </c>
      <c r="B34" s="4">
        <f t="shared" si="0"/>
        <v>23</v>
      </c>
      <c r="C34" s="4">
        <f t="shared" si="1"/>
        <v>3</v>
      </c>
      <c r="D34" s="4">
        <f t="shared" si="2"/>
        <v>2023</v>
      </c>
      <c r="E34" s="3">
        <v>45008</v>
      </c>
      <c r="F34" s="4" t="s">
        <v>59</v>
      </c>
      <c r="G34" s="4" t="s">
        <v>19</v>
      </c>
      <c r="H34" s="4" t="str" cm="1">
        <f t="array" ref="H34">_xlfn.IFS(I34&lt;30, "Young Adult", I34&gt;=50, "Senior", I34&gt;=30, "Adult")</f>
        <v>Senior</v>
      </c>
      <c r="I34" s="4">
        <v>50</v>
      </c>
      <c r="J34" s="4" t="s">
        <v>24</v>
      </c>
      <c r="K34" s="4">
        <v>2</v>
      </c>
      <c r="L34" s="5">
        <v>50</v>
      </c>
      <c r="M34" s="5">
        <f>K34 * L34</f>
        <v>100</v>
      </c>
      <c r="N34" s="5">
        <f>M34 * $Q$4</f>
        <v>1.5</v>
      </c>
      <c r="O34" s="5">
        <f>M34* $Q$5</f>
        <v>2</v>
      </c>
    </row>
    <row r="35" spans="1:15">
      <c r="A35" s="2">
        <v>34</v>
      </c>
      <c r="B35" s="4">
        <f t="shared" si="0"/>
        <v>24</v>
      </c>
      <c r="C35" s="4">
        <f t="shared" si="1"/>
        <v>12</v>
      </c>
      <c r="D35" s="4">
        <f t="shared" si="2"/>
        <v>2023</v>
      </c>
      <c r="E35" s="3">
        <v>45284</v>
      </c>
      <c r="F35" s="4" t="s">
        <v>60</v>
      </c>
      <c r="G35" s="4" t="s">
        <v>19</v>
      </c>
      <c r="H35" s="4" t="str" cm="1">
        <f t="array" ref="H35">_xlfn.IFS(I35&lt;30, "Young Adult", I35&gt;=50, "Senior", I35&gt;=30, "Adult")</f>
        <v>Senior</v>
      </c>
      <c r="I35" s="4">
        <v>51</v>
      </c>
      <c r="J35" s="4" t="s">
        <v>20</v>
      </c>
      <c r="K35" s="4">
        <v>3</v>
      </c>
      <c r="L35" s="5">
        <v>50</v>
      </c>
      <c r="M35" s="5">
        <f>K35 * L35</f>
        <v>150</v>
      </c>
      <c r="N35" s="5">
        <f>M35 * $Q$4</f>
        <v>2.25</v>
      </c>
      <c r="O35" s="5">
        <f>M35* $Q$5</f>
        <v>3</v>
      </c>
    </row>
    <row r="36" spans="1:15">
      <c r="A36" s="2">
        <v>35</v>
      </c>
      <c r="B36" s="4">
        <f t="shared" si="0"/>
        <v>5</v>
      </c>
      <c r="C36" s="4">
        <f t="shared" si="1"/>
        <v>8</v>
      </c>
      <c r="D36" s="4">
        <f t="shared" si="2"/>
        <v>2023</v>
      </c>
      <c r="E36" s="3">
        <v>45143</v>
      </c>
      <c r="F36" s="4" t="s">
        <v>61</v>
      </c>
      <c r="G36" s="4" t="s">
        <v>19</v>
      </c>
      <c r="H36" s="4" t="str" cm="1">
        <f t="array" ref="H36">_xlfn.IFS(I36&lt;30, "Young Adult", I36&gt;=50, "Senior", I36&gt;=30, "Adult")</f>
        <v>Senior</v>
      </c>
      <c r="I36" s="4">
        <v>58</v>
      </c>
      <c r="J36" s="4" t="s">
        <v>17</v>
      </c>
      <c r="K36" s="4">
        <v>3</v>
      </c>
      <c r="L36" s="5">
        <v>300</v>
      </c>
      <c r="M36" s="5">
        <f>K36 * L36</f>
        <v>900</v>
      </c>
      <c r="N36" s="5">
        <f>M36 * $Q$4</f>
        <v>13.5</v>
      </c>
      <c r="O36" s="5">
        <f>M36* $Q$5</f>
        <v>18</v>
      </c>
    </row>
    <row r="37" spans="1:15">
      <c r="A37" s="2">
        <v>36</v>
      </c>
      <c r="B37" s="4">
        <f t="shared" si="0"/>
        <v>24</v>
      </c>
      <c r="C37" s="4">
        <f t="shared" si="1"/>
        <v>6</v>
      </c>
      <c r="D37" s="4">
        <f t="shared" si="2"/>
        <v>2023</v>
      </c>
      <c r="E37" s="3">
        <v>45101</v>
      </c>
      <c r="F37" s="4" t="s">
        <v>62</v>
      </c>
      <c r="G37" s="4" t="s">
        <v>16</v>
      </c>
      <c r="H37" s="4" t="str" cm="1">
        <f t="array" ref="H37">_xlfn.IFS(I37&lt;30, "Young Adult", I37&gt;=50, "Senior", I37&gt;=30, "Adult")</f>
        <v>Senior</v>
      </c>
      <c r="I37" s="4">
        <v>52</v>
      </c>
      <c r="J37" s="4" t="s">
        <v>17</v>
      </c>
      <c r="K37" s="4">
        <v>3</v>
      </c>
      <c r="L37" s="5">
        <v>300</v>
      </c>
      <c r="M37" s="5">
        <f>K37 * L37</f>
        <v>900</v>
      </c>
      <c r="N37" s="5">
        <f>M37 * $Q$4</f>
        <v>13.5</v>
      </c>
      <c r="O37" s="5">
        <f>M37* $Q$5</f>
        <v>18</v>
      </c>
    </row>
    <row r="38" spans="1:15">
      <c r="A38" s="2">
        <v>37</v>
      </c>
      <c r="B38" s="4">
        <f t="shared" si="0"/>
        <v>23</v>
      </c>
      <c r="C38" s="4">
        <f t="shared" si="1"/>
        <v>5</v>
      </c>
      <c r="D38" s="4">
        <f t="shared" si="2"/>
        <v>2023</v>
      </c>
      <c r="E38" s="3">
        <v>45069</v>
      </c>
      <c r="F38" s="4" t="s">
        <v>63</v>
      </c>
      <c r="G38" s="4" t="s">
        <v>19</v>
      </c>
      <c r="H38" s="4" t="str" cm="1">
        <f t="array" ref="H38">_xlfn.IFS(I38&lt;30, "Young Adult", I38&gt;=50, "Senior", I38&gt;=30, "Adult")</f>
        <v>Young Adult</v>
      </c>
      <c r="I38" s="4">
        <v>18</v>
      </c>
      <c r="J38" s="4" t="s">
        <v>17</v>
      </c>
      <c r="K38" s="4">
        <v>3</v>
      </c>
      <c r="L38" s="5">
        <v>25</v>
      </c>
      <c r="M38" s="5">
        <f>K38 * L38</f>
        <v>75</v>
      </c>
      <c r="N38" s="5">
        <f>M38 * $Q$4</f>
        <v>1.125</v>
      </c>
      <c r="O38" s="5">
        <f>M38* $Q$5</f>
        <v>1.5</v>
      </c>
    </row>
    <row r="39" spans="1:15">
      <c r="A39" s="2">
        <v>38</v>
      </c>
      <c r="B39" s="4">
        <f t="shared" si="0"/>
        <v>21</v>
      </c>
      <c r="C39" s="4">
        <f t="shared" si="1"/>
        <v>3</v>
      </c>
      <c r="D39" s="4">
        <f t="shared" si="2"/>
        <v>2023</v>
      </c>
      <c r="E39" s="3">
        <v>45006</v>
      </c>
      <c r="F39" s="4" t="s">
        <v>64</v>
      </c>
      <c r="G39" s="4" t="s">
        <v>16</v>
      </c>
      <c r="H39" s="4" t="str" cm="1">
        <f t="array" ref="H39">_xlfn.IFS(I39&lt;30, "Young Adult", I39&gt;=50, "Senior", I39&gt;=30, "Adult")</f>
        <v>Adult</v>
      </c>
      <c r="I39" s="4">
        <v>38</v>
      </c>
      <c r="J39" s="4" t="s">
        <v>17</v>
      </c>
      <c r="K39" s="4">
        <v>4</v>
      </c>
      <c r="L39" s="5">
        <v>50</v>
      </c>
      <c r="M39" s="5">
        <f>K39 * L39</f>
        <v>200</v>
      </c>
      <c r="N39" s="5">
        <f>M39 * $Q$4</f>
        <v>3</v>
      </c>
      <c r="O39" s="5">
        <f>M39* $Q$5</f>
        <v>4</v>
      </c>
    </row>
    <row r="40" spans="1:15">
      <c r="A40" s="2">
        <v>39</v>
      </c>
      <c r="B40" s="4">
        <f t="shared" si="0"/>
        <v>21</v>
      </c>
      <c r="C40" s="4">
        <f t="shared" si="1"/>
        <v>4</v>
      </c>
      <c r="D40" s="4">
        <f t="shared" si="2"/>
        <v>2023</v>
      </c>
      <c r="E40" s="3">
        <v>45037</v>
      </c>
      <c r="F40" s="4" t="s">
        <v>65</v>
      </c>
      <c r="G40" s="4" t="s">
        <v>16</v>
      </c>
      <c r="H40" s="4" t="str" cm="1">
        <f t="array" ref="H40">_xlfn.IFS(I40&lt;30, "Young Adult", I40&gt;=50, "Senior", I40&gt;=30, "Adult")</f>
        <v>Young Adult</v>
      </c>
      <c r="I40" s="4">
        <v>23</v>
      </c>
      <c r="J40" s="4" t="s">
        <v>20</v>
      </c>
      <c r="K40" s="4">
        <v>4</v>
      </c>
      <c r="L40" s="5">
        <v>30</v>
      </c>
      <c r="M40" s="5">
        <f>K40 * L40</f>
        <v>120</v>
      </c>
      <c r="N40" s="5">
        <f>M40 * $Q$4</f>
        <v>1.7999999999999998</v>
      </c>
      <c r="O40" s="5">
        <f>M40* $Q$5</f>
        <v>2.4</v>
      </c>
    </row>
    <row r="41" spans="1:15">
      <c r="A41" s="2">
        <v>40</v>
      </c>
      <c r="B41" s="4">
        <f t="shared" si="0"/>
        <v>22</v>
      </c>
      <c r="C41" s="4">
        <f t="shared" si="1"/>
        <v>6</v>
      </c>
      <c r="D41" s="4">
        <f t="shared" si="2"/>
        <v>2023</v>
      </c>
      <c r="E41" s="3">
        <v>45099</v>
      </c>
      <c r="F41" s="4" t="s">
        <v>66</v>
      </c>
      <c r="G41" s="4" t="s">
        <v>16</v>
      </c>
      <c r="H41" s="4" t="str" cm="1">
        <f t="array" ref="H41">_xlfn.IFS(I41&lt;30, "Young Adult", I41&gt;=50, "Senior", I41&gt;=30, "Adult")</f>
        <v>Adult</v>
      </c>
      <c r="I41" s="4">
        <v>45</v>
      </c>
      <c r="J41" s="4" t="s">
        <v>17</v>
      </c>
      <c r="K41" s="4">
        <v>1</v>
      </c>
      <c r="L41" s="5">
        <v>50</v>
      </c>
      <c r="M41" s="5">
        <f>K41 * L41</f>
        <v>50</v>
      </c>
      <c r="N41" s="5">
        <f>M41 * $Q$4</f>
        <v>0.75</v>
      </c>
      <c r="O41" s="5">
        <f>M41* $Q$5</f>
        <v>1</v>
      </c>
    </row>
    <row r="42" spans="1:15">
      <c r="A42" s="2">
        <v>41</v>
      </c>
      <c r="B42" s="4">
        <f t="shared" si="0"/>
        <v>22</v>
      </c>
      <c r="C42" s="4">
        <f t="shared" si="1"/>
        <v>2</v>
      </c>
      <c r="D42" s="4">
        <f t="shared" si="2"/>
        <v>2023</v>
      </c>
      <c r="E42" s="3">
        <v>44979</v>
      </c>
      <c r="F42" s="4" t="s">
        <v>67</v>
      </c>
      <c r="G42" s="4" t="s">
        <v>16</v>
      </c>
      <c r="H42" s="4" t="str" cm="1">
        <f t="array" ref="H42">_xlfn.IFS(I42&lt;30, "Young Adult", I42&gt;=50, "Senior", I42&gt;=30, "Adult")</f>
        <v>Adult</v>
      </c>
      <c r="I42" s="4">
        <v>34</v>
      </c>
      <c r="J42" s="4" t="s">
        <v>20</v>
      </c>
      <c r="K42" s="4">
        <v>2</v>
      </c>
      <c r="L42" s="5">
        <v>25</v>
      </c>
      <c r="M42" s="5">
        <f>K42 * L42</f>
        <v>50</v>
      </c>
      <c r="N42" s="5">
        <f>M42 * $Q$4</f>
        <v>0.75</v>
      </c>
      <c r="O42" s="5">
        <f>M42* $Q$5</f>
        <v>1</v>
      </c>
    </row>
    <row r="43" spans="1:15">
      <c r="A43" s="2">
        <v>42</v>
      </c>
      <c r="B43" s="4">
        <f t="shared" si="0"/>
        <v>17</v>
      </c>
      <c r="C43" s="4">
        <f t="shared" si="1"/>
        <v>2</v>
      </c>
      <c r="D43" s="4">
        <f t="shared" si="2"/>
        <v>2023</v>
      </c>
      <c r="E43" s="3">
        <v>44974</v>
      </c>
      <c r="F43" s="4" t="s">
        <v>68</v>
      </c>
      <c r="G43" s="4" t="s">
        <v>16</v>
      </c>
      <c r="H43" s="4" t="str" cm="1">
        <f t="array" ref="H43">_xlfn.IFS(I43&lt;30, "Young Adult", I43&gt;=50, "Senior", I43&gt;=30, "Adult")</f>
        <v>Young Adult</v>
      </c>
      <c r="I43" s="4">
        <v>22</v>
      </c>
      <c r="J43" s="4" t="s">
        <v>20</v>
      </c>
      <c r="K43" s="4">
        <v>3</v>
      </c>
      <c r="L43" s="5">
        <v>300</v>
      </c>
      <c r="M43" s="5">
        <f>K43 * L43</f>
        <v>900</v>
      </c>
      <c r="N43" s="5">
        <f>M43 * $Q$4</f>
        <v>13.5</v>
      </c>
      <c r="O43" s="5">
        <f>M43* $Q$5</f>
        <v>18</v>
      </c>
    </row>
    <row r="44" spans="1:15">
      <c r="A44" s="2">
        <v>43</v>
      </c>
      <c r="B44" s="4">
        <f t="shared" si="0"/>
        <v>14</v>
      </c>
      <c r="C44" s="4">
        <f t="shared" si="1"/>
        <v>7</v>
      </c>
      <c r="D44" s="4">
        <f t="shared" si="2"/>
        <v>2023</v>
      </c>
      <c r="E44" s="3">
        <v>45121</v>
      </c>
      <c r="F44" s="4" t="s">
        <v>69</v>
      </c>
      <c r="G44" s="4" t="s">
        <v>19</v>
      </c>
      <c r="H44" s="4" t="str" cm="1">
        <f t="array" ref="H44">_xlfn.IFS(I44&lt;30, "Young Adult", I44&gt;=50, "Senior", I44&gt;=30, "Adult")</f>
        <v>Adult</v>
      </c>
      <c r="I44" s="4">
        <v>48</v>
      </c>
      <c r="J44" s="4" t="s">
        <v>20</v>
      </c>
      <c r="K44" s="4">
        <v>1</v>
      </c>
      <c r="L44" s="5">
        <v>300</v>
      </c>
      <c r="M44" s="5">
        <f>K44 * L44</f>
        <v>300</v>
      </c>
      <c r="N44" s="5">
        <f>M44 * $Q$4</f>
        <v>4.5</v>
      </c>
      <c r="O44" s="5">
        <f>M44* $Q$5</f>
        <v>6</v>
      </c>
    </row>
    <row r="45" spans="1:15">
      <c r="A45" s="2">
        <v>44</v>
      </c>
      <c r="B45" s="4">
        <f t="shared" si="0"/>
        <v>19</v>
      </c>
      <c r="C45" s="4">
        <f t="shared" si="1"/>
        <v>2</v>
      </c>
      <c r="D45" s="4">
        <f t="shared" si="2"/>
        <v>2023</v>
      </c>
      <c r="E45" s="3">
        <v>44976</v>
      </c>
      <c r="F45" s="4" t="s">
        <v>70</v>
      </c>
      <c r="G45" s="4" t="s">
        <v>19</v>
      </c>
      <c r="H45" s="4" t="str" cm="1">
        <f t="array" ref="H45">_xlfn.IFS(I45&lt;30, "Young Adult", I45&gt;=50, "Senior", I45&gt;=30, "Adult")</f>
        <v>Young Adult</v>
      </c>
      <c r="I45" s="4">
        <v>22</v>
      </c>
      <c r="J45" s="4" t="s">
        <v>20</v>
      </c>
      <c r="K45" s="4">
        <v>1</v>
      </c>
      <c r="L45" s="5">
        <v>25</v>
      </c>
      <c r="M45" s="5">
        <f>K45 * L45</f>
        <v>25</v>
      </c>
      <c r="N45" s="5">
        <f>M45 * $Q$4</f>
        <v>0.375</v>
      </c>
      <c r="O45" s="5">
        <f>M45* $Q$5</f>
        <v>0.5</v>
      </c>
    </row>
    <row r="46" spans="1:15">
      <c r="A46" s="2">
        <v>45</v>
      </c>
      <c r="B46" s="4">
        <f t="shared" si="0"/>
        <v>3</v>
      </c>
      <c r="C46" s="4">
        <f t="shared" si="1"/>
        <v>7</v>
      </c>
      <c r="D46" s="4">
        <f t="shared" si="2"/>
        <v>2023</v>
      </c>
      <c r="E46" s="3">
        <v>45110</v>
      </c>
      <c r="F46" s="4" t="s">
        <v>71</v>
      </c>
      <c r="G46" s="4" t="s">
        <v>19</v>
      </c>
      <c r="H46" s="4" t="str" cm="1">
        <f t="array" ref="H46">_xlfn.IFS(I46&lt;30, "Young Adult", I46&gt;=50, "Senior", I46&gt;=30, "Adult")</f>
        <v>Senior</v>
      </c>
      <c r="I46" s="4">
        <v>55</v>
      </c>
      <c r="J46" s="4" t="s">
        <v>24</v>
      </c>
      <c r="K46" s="4">
        <v>1</v>
      </c>
      <c r="L46" s="5">
        <v>30</v>
      </c>
      <c r="M46" s="5">
        <f>K46 * L46</f>
        <v>30</v>
      </c>
      <c r="N46" s="5">
        <f>M46 * $Q$4</f>
        <v>0.44999999999999996</v>
      </c>
      <c r="O46" s="5">
        <f>M46* $Q$5</f>
        <v>0.6</v>
      </c>
    </row>
    <row r="47" spans="1:15">
      <c r="A47" s="2">
        <v>46</v>
      </c>
      <c r="B47" s="4">
        <f t="shared" si="0"/>
        <v>26</v>
      </c>
      <c r="C47" s="4">
        <f t="shared" si="1"/>
        <v>6</v>
      </c>
      <c r="D47" s="4">
        <f t="shared" si="2"/>
        <v>2023</v>
      </c>
      <c r="E47" s="3">
        <v>45103</v>
      </c>
      <c r="F47" s="4" t="s">
        <v>72</v>
      </c>
      <c r="G47" s="4" t="s">
        <v>19</v>
      </c>
      <c r="H47" s="4" t="str" cm="1">
        <f t="array" ref="H47">_xlfn.IFS(I47&lt;30, "Young Adult", I47&gt;=50, "Senior", I47&gt;=30, "Adult")</f>
        <v>Young Adult</v>
      </c>
      <c r="I47" s="4">
        <v>20</v>
      </c>
      <c r="J47" s="4" t="s">
        <v>24</v>
      </c>
      <c r="K47" s="4">
        <v>4</v>
      </c>
      <c r="L47" s="5">
        <v>300</v>
      </c>
      <c r="M47" s="5">
        <f>K47 * L47</f>
        <v>1200</v>
      </c>
      <c r="N47" s="5">
        <f>M47 * $Q$4</f>
        <v>18</v>
      </c>
      <c r="O47" s="5">
        <f>M47* $Q$5</f>
        <v>24</v>
      </c>
    </row>
    <row r="48" spans="1:15">
      <c r="A48" s="2">
        <v>47</v>
      </c>
      <c r="B48" s="4">
        <f t="shared" si="0"/>
        <v>6</v>
      </c>
      <c r="C48" s="4">
        <f t="shared" si="1"/>
        <v>11</v>
      </c>
      <c r="D48" s="4">
        <f t="shared" si="2"/>
        <v>2023</v>
      </c>
      <c r="E48" s="3">
        <v>45236</v>
      </c>
      <c r="F48" s="4" t="s">
        <v>73</v>
      </c>
      <c r="G48" s="4" t="s">
        <v>19</v>
      </c>
      <c r="H48" s="4" t="str" cm="1">
        <f t="array" ref="H48">_xlfn.IFS(I48&lt;30, "Young Adult", I48&gt;=50, "Senior", I48&gt;=30, "Adult")</f>
        <v>Adult</v>
      </c>
      <c r="I48" s="4">
        <v>40</v>
      </c>
      <c r="J48" s="4" t="s">
        <v>17</v>
      </c>
      <c r="K48" s="4">
        <v>3</v>
      </c>
      <c r="L48" s="5">
        <v>500</v>
      </c>
      <c r="M48" s="5">
        <f>K48 * L48</f>
        <v>1500</v>
      </c>
      <c r="N48" s="5">
        <f>M48 * $Q$4</f>
        <v>22.5</v>
      </c>
      <c r="O48" s="5">
        <f>M48* $Q$5</f>
        <v>30</v>
      </c>
    </row>
    <row r="49" spans="1:15">
      <c r="A49" s="2">
        <v>48</v>
      </c>
      <c r="B49" s="4">
        <f t="shared" si="0"/>
        <v>16</v>
      </c>
      <c r="C49" s="4">
        <f t="shared" si="1"/>
        <v>5</v>
      </c>
      <c r="D49" s="4">
        <f t="shared" si="2"/>
        <v>2023</v>
      </c>
      <c r="E49" s="3">
        <v>45062</v>
      </c>
      <c r="F49" s="4" t="s">
        <v>74</v>
      </c>
      <c r="G49" s="4" t="s">
        <v>16</v>
      </c>
      <c r="H49" s="4" t="str" cm="1">
        <f t="array" ref="H49">_xlfn.IFS(I49&lt;30, "Young Adult", I49&gt;=50, "Senior", I49&gt;=30, "Adult")</f>
        <v>Senior</v>
      </c>
      <c r="I49" s="4">
        <v>54</v>
      </c>
      <c r="J49" s="4" t="s">
        <v>24</v>
      </c>
      <c r="K49" s="4">
        <v>3</v>
      </c>
      <c r="L49" s="5">
        <v>300</v>
      </c>
      <c r="M49" s="5">
        <f>K49 * L49</f>
        <v>900</v>
      </c>
      <c r="N49" s="5">
        <f>M49 * $Q$4</f>
        <v>13.5</v>
      </c>
      <c r="O49" s="5">
        <f>M49* $Q$5</f>
        <v>18</v>
      </c>
    </row>
    <row r="50" spans="1:15">
      <c r="A50" s="2">
        <v>49</v>
      </c>
      <c r="B50" s="4">
        <f t="shared" si="0"/>
        <v>23</v>
      </c>
      <c r="C50" s="4">
        <f t="shared" si="1"/>
        <v>1</v>
      </c>
      <c r="D50" s="4">
        <f t="shared" si="2"/>
        <v>2023</v>
      </c>
      <c r="E50" s="3">
        <v>44949</v>
      </c>
      <c r="F50" s="4" t="s">
        <v>75</v>
      </c>
      <c r="G50" s="4" t="s">
        <v>19</v>
      </c>
      <c r="H50" s="4" t="str" cm="1">
        <f t="array" ref="H50">_xlfn.IFS(I50&lt;30, "Young Adult", I50&gt;=50, "Senior", I50&gt;=30, "Adult")</f>
        <v>Senior</v>
      </c>
      <c r="I50" s="4">
        <v>54</v>
      </c>
      <c r="J50" s="4" t="s">
        <v>24</v>
      </c>
      <c r="K50" s="4">
        <v>2</v>
      </c>
      <c r="L50" s="5">
        <v>500</v>
      </c>
      <c r="M50" s="5">
        <f>K50 * L50</f>
        <v>1000</v>
      </c>
      <c r="N50" s="5">
        <f>M50 * $Q$4</f>
        <v>15</v>
      </c>
      <c r="O50" s="5">
        <f>M50* $Q$5</f>
        <v>20</v>
      </c>
    </row>
    <row r="51" spans="1:15">
      <c r="A51" s="2">
        <v>50</v>
      </c>
      <c r="B51" s="4">
        <f t="shared" si="0"/>
        <v>24</v>
      </c>
      <c r="C51" s="4">
        <f t="shared" si="1"/>
        <v>8</v>
      </c>
      <c r="D51" s="4">
        <f t="shared" si="2"/>
        <v>2023</v>
      </c>
      <c r="E51" s="3">
        <v>45162</v>
      </c>
      <c r="F51" s="4" t="s">
        <v>76</v>
      </c>
      <c r="G51" s="4" t="s">
        <v>19</v>
      </c>
      <c r="H51" s="4" t="str" cm="1">
        <f t="array" ref="H51">_xlfn.IFS(I51&lt;30, "Young Adult", I51&gt;=50, "Senior", I51&gt;=30, "Adult")</f>
        <v>Young Adult</v>
      </c>
      <c r="I51" s="4">
        <v>27</v>
      </c>
      <c r="J51" s="4" t="s">
        <v>17</v>
      </c>
      <c r="K51" s="4">
        <v>3</v>
      </c>
      <c r="L51" s="5">
        <v>25</v>
      </c>
      <c r="M51" s="5">
        <f>K51 * L51</f>
        <v>75</v>
      </c>
      <c r="N51" s="5">
        <f>M51 * $Q$4</f>
        <v>1.125</v>
      </c>
      <c r="O51" s="5">
        <f>M51* $Q$5</f>
        <v>1.5</v>
      </c>
    </row>
    <row r="52" spans="1:15">
      <c r="A52" s="2">
        <v>51</v>
      </c>
      <c r="B52" s="4">
        <f t="shared" si="0"/>
        <v>2</v>
      </c>
      <c r="C52" s="4">
        <f t="shared" si="1"/>
        <v>10</v>
      </c>
      <c r="D52" s="4">
        <f t="shared" si="2"/>
        <v>2023</v>
      </c>
      <c r="E52" s="3">
        <v>45201</v>
      </c>
      <c r="F52" s="4" t="s">
        <v>77</v>
      </c>
      <c r="G52" s="4" t="s">
        <v>16</v>
      </c>
      <c r="H52" s="4" t="str" cm="1">
        <f t="array" ref="H52">_xlfn.IFS(I52&lt;30, "Young Adult", I52&gt;=50, "Senior", I52&gt;=30, "Adult")</f>
        <v>Young Adult</v>
      </c>
      <c r="I52" s="4">
        <v>27</v>
      </c>
      <c r="J52" s="4" t="s">
        <v>17</v>
      </c>
      <c r="K52" s="4">
        <v>3</v>
      </c>
      <c r="L52" s="5">
        <v>25</v>
      </c>
      <c r="M52" s="5">
        <f>K52 * L52</f>
        <v>75</v>
      </c>
      <c r="N52" s="5">
        <f>M52 * $Q$4</f>
        <v>1.125</v>
      </c>
      <c r="O52" s="5">
        <f>M52* $Q$5</f>
        <v>1.5</v>
      </c>
    </row>
    <row r="53" spans="1:15">
      <c r="A53" s="2">
        <v>52</v>
      </c>
      <c r="B53" s="4">
        <f t="shared" si="0"/>
        <v>5</v>
      </c>
      <c r="C53" s="4">
        <f t="shared" si="1"/>
        <v>3</v>
      </c>
      <c r="D53" s="4">
        <f t="shared" si="2"/>
        <v>2023</v>
      </c>
      <c r="E53" s="3">
        <v>44990</v>
      </c>
      <c r="F53" s="4" t="s">
        <v>78</v>
      </c>
      <c r="G53" s="4" t="s">
        <v>19</v>
      </c>
      <c r="H53" s="4" t="str" cm="1">
        <f t="array" ref="H53">_xlfn.IFS(I53&lt;30, "Young Adult", I53&gt;=50, "Senior", I53&gt;=30, "Adult")</f>
        <v>Adult</v>
      </c>
      <c r="I53" s="4">
        <v>36</v>
      </c>
      <c r="J53" s="4" t="s">
        <v>17</v>
      </c>
      <c r="K53" s="4">
        <v>1</v>
      </c>
      <c r="L53" s="5">
        <v>300</v>
      </c>
      <c r="M53" s="5">
        <f>K53 * L53</f>
        <v>300</v>
      </c>
      <c r="N53" s="5">
        <f>M53 * $Q$4</f>
        <v>4.5</v>
      </c>
      <c r="O53" s="5">
        <f>M53* $Q$5</f>
        <v>6</v>
      </c>
    </row>
    <row r="54" spans="1:15">
      <c r="A54" s="2">
        <v>53</v>
      </c>
      <c r="B54" s="4">
        <f t="shared" si="0"/>
        <v>13</v>
      </c>
      <c r="C54" s="4">
        <f t="shared" si="1"/>
        <v>7</v>
      </c>
      <c r="D54" s="4">
        <f t="shared" si="2"/>
        <v>2023</v>
      </c>
      <c r="E54" s="3">
        <v>45120</v>
      </c>
      <c r="F54" s="4" t="s">
        <v>79</v>
      </c>
      <c r="G54" s="4" t="s">
        <v>16</v>
      </c>
      <c r="H54" s="4" t="str" cm="1">
        <f t="array" ref="H54">_xlfn.IFS(I54&lt;30, "Young Adult", I54&gt;=50, "Senior", I54&gt;=30, "Adult")</f>
        <v>Adult</v>
      </c>
      <c r="I54" s="4">
        <v>34</v>
      </c>
      <c r="J54" s="4" t="s">
        <v>24</v>
      </c>
      <c r="K54" s="4">
        <v>2</v>
      </c>
      <c r="L54" s="5">
        <v>50</v>
      </c>
      <c r="M54" s="5">
        <f>K54 * L54</f>
        <v>100</v>
      </c>
      <c r="N54" s="5">
        <f>M54 * $Q$4</f>
        <v>1.5</v>
      </c>
      <c r="O54" s="5">
        <f>M54* $Q$5</f>
        <v>2</v>
      </c>
    </row>
    <row r="55" spans="1:15">
      <c r="A55" s="2">
        <v>54</v>
      </c>
      <c r="B55" s="4">
        <f t="shared" si="0"/>
        <v>10</v>
      </c>
      <c r="C55" s="4">
        <f t="shared" si="1"/>
        <v>2</v>
      </c>
      <c r="D55" s="4">
        <f t="shared" si="2"/>
        <v>2023</v>
      </c>
      <c r="E55" s="3">
        <v>44967</v>
      </c>
      <c r="F55" s="4" t="s">
        <v>80</v>
      </c>
      <c r="G55" s="4" t="s">
        <v>19</v>
      </c>
      <c r="H55" s="4" t="str" cm="1">
        <f t="array" ref="H55">_xlfn.IFS(I55&lt;30, "Young Adult", I55&gt;=50, "Senior", I55&gt;=30, "Adult")</f>
        <v>Adult</v>
      </c>
      <c r="I55" s="4">
        <v>38</v>
      </c>
      <c r="J55" s="4" t="s">
        <v>24</v>
      </c>
      <c r="K55" s="4">
        <v>3</v>
      </c>
      <c r="L55" s="5">
        <v>500</v>
      </c>
      <c r="M55" s="5">
        <f>K55 * L55</f>
        <v>1500</v>
      </c>
      <c r="N55" s="5">
        <f>M55 * $Q$4</f>
        <v>22.5</v>
      </c>
      <c r="O55" s="5">
        <f>M55* $Q$5</f>
        <v>30</v>
      </c>
    </row>
    <row r="56" spans="1:15">
      <c r="A56" s="2">
        <v>55</v>
      </c>
      <c r="B56" s="4">
        <f t="shared" si="0"/>
        <v>10</v>
      </c>
      <c r="C56" s="4">
        <f t="shared" si="1"/>
        <v>10</v>
      </c>
      <c r="D56" s="4">
        <f t="shared" si="2"/>
        <v>2023</v>
      </c>
      <c r="E56" s="3">
        <v>45209</v>
      </c>
      <c r="F56" s="4" t="s">
        <v>81</v>
      </c>
      <c r="G56" s="4" t="s">
        <v>16</v>
      </c>
      <c r="H56" s="4" t="str" cm="1">
        <f t="array" ref="H56">_xlfn.IFS(I56&lt;30, "Young Adult", I56&gt;=50, "Senior", I56&gt;=30, "Adult")</f>
        <v>Adult</v>
      </c>
      <c r="I56" s="4">
        <v>31</v>
      </c>
      <c r="J56" s="4" t="s">
        <v>17</v>
      </c>
      <c r="K56" s="4">
        <v>4</v>
      </c>
      <c r="L56" s="5">
        <v>30</v>
      </c>
      <c r="M56" s="5">
        <f>K56 * L56</f>
        <v>120</v>
      </c>
      <c r="N56" s="5">
        <f>M56 * $Q$4</f>
        <v>1.7999999999999998</v>
      </c>
      <c r="O56" s="5">
        <f>M56* $Q$5</f>
        <v>2.4</v>
      </c>
    </row>
    <row r="57" spans="1:15">
      <c r="A57" s="2">
        <v>56</v>
      </c>
      <c r="B57" s="4">
        <f t="shared" si="0"/>
        <v>31</v>
      </c>
      <c r="C57" s="4">
        <f t="shared" si="1"/>
        <v>5</v>
      </c>
      <c r="D57" s="4">
        <f t="shared" si="2"/>
        <v>2023</v>
      </c>
      <c r="E57" s="3">
        <v>45077</v>
      </c>
      <c r="F57" s="4" t="s">
        <v>82</v>
      </c>
      <c r="G57" s="4" t="s">
        <v>19</v>
      </c>
      <c r="H57" s="4" t="str" cm="1">
        <f t="array" ref="H57">_xlfn.IFS(I57&lt;30, "Young Adult", I57&gt;=50, "Senior", I57&gt;=30, "Adult")</f>
        <v>Young Adult</v>
      </c>
      <c r="I57" s="4">
        <v>26</v>
      </c>
      <c r="J57" s="4" t="s">
        <v>20</v>
      </c>
      <c r="K57" s="4">
        <v>3</v>
      </c>
      <c r="L57" s="5">
        <v>300</v>
      </c>
      <c r="M57" s="5">
        <f>K57 * L57</f>
        <v>900</v>
      </c>
      <c r="N57" s="5">
        <f>M57 * $Q$4</f>
        <v>13.5</v>
      </c>
      <c r="O57" s="5">
        <f>M57* $Q$5</f>
        <v>18</v>
      </c>
    </row>
    <row r="58" spans="1:15">
      <c r="A58" s="2">
        <v>57</v>
      </c>
      <c r="B58" s="4">
        <f t="shared" si="0"/>
        <v>18</v>
      </c>
      <c r="C58" s="4">
        <f t="shared" si="1"/>
        <v>11</v>
      </c>
      <c r="D58" s="4">
        <f t="shared" si="2"/>
        <v>2023</v>
      </c>
      <c r="E58" s="3">
        <v>45248</v>
      </c>
      <c r="F58" s="4" t="s">
        <v>83</v>
      </c>
      <c r="G58" s="4" t="s">
        <v>19</v>
      </c>
      <c r="H58" s="4" t="str" cm="1">
        <f t="array" ref="H58">_xlfn.IFS(I58&lt;30, "Young Adult", I58&gt;=50, "Senior", I58&gt;=30, "Adult")</f>
        <v>Senior</v>
      </c>
      <c r="I58" s="4">
        <v>63</v>
      </c>
      <c r="J58" s="4" t="s">
        <v>17</v>
      </c>
      <c r="K58" s="4">
        <v>1</v>
      </c>
      <c r="L58" s="5">
        <v>30</v>
      </c>
      <c r="M58" s="5">
        <f>K58 * L58</f>
        <v>30</v>
      </c>
      <c r="N58" s="5">
        <f>M58 * $Q$4</f>
        <v>0.44999999999999996</v>
      </c>
      <c r="O58" s="5">
        <f>M58* $Q$5</f>
        <v>0.6</v>
      </c>
    </row>
    <row r="59" spans="1:15">
      <c r="A59" s="2">
        <v>58</v>
      </c>
      <c r="B59" s="4">
        <f t="shared" si="0"/>
        <v>13</v>
      </c>
      <c r="C59" s="4">
        <f t="shared" si="1"/>
        <v>11</v>
      </c>
      <c r="D59" s="4">
        <f t="shared" si="2"/>
        <v>2023</v>
      </c>
      <c r="E59" s="3">
        <v>45243</v>
      </c>
      <c r="F59" s="4" t="s">
        <v>84</v>
      </c>
      <c r="G59" s="4" t="s">
        <v>16</v>
      </c>
      <c r="H59" s="4" t="str" cm="1">
        <f t="array" ref="H59">_xlfn.IFS(I59&lt;30, "Young Adult", I59&gt;=50, "Senior", I59&gt;=30, "Adult")</f>
        <v>Young Adult</v>
      </c>
      <c r="I59" s="4">
        <v>18</v>
      </c>
      <c r="J59" s="4" t="s">
        <v>20</v>
      </c>
      <c r="K59" s="4">
        <v>4</v>
      </c>
      <c r="L59" s="5">
        <v>300</v>
      </c>
      <c r="M59" s="5">
        <f>K59 * L59</f>
        <v>1200</v>
      </c>
      <c r="N59" s="5">
        <f>M59 * $Q$4</f>
        <v>18</v>
      </c>
      <c r="O59" s="5">
        <f>M59* $Q$5</f>
        <v>24</v>
      </c>
    </row>
    <row r="60" spans="1:15">
      <c r="A60" s="2">
        <v>59</v>
      </c>
      <c r="B60" s="4">
        <f t="shared" si="0"/>
        <v>5</v>
      </c>
      <c r="C60" s="4">
        <f t="shared" si="1"/>
        <v>7</v>
      </c>
      <c r="D60" s="4">
        <f t="shared" si="2"/>
        <v>2023</v>
      </c>
      <c r="E60" s="3">
        <v>45112</v>
      </c>
      <c r="F60" s="4" t="s">
        <v>85</v>
      </c>
      <c r="G60" s="4" t="s">
        <v>16</v>
      </c>
      <c r="H60" s="4" t="str" cm="1">
        <f t="array" ref="H60">_xlfn.IFS(I60&lt;30, "Young Adult", I60&gt;=50, "Senior", I60&gt;=30, "Adult")</f>
        <v>Senior</v>
      </c>
      <c r="I60" s="4">
        <v>62</v>
      </c>
      <c r="J60" s="4" t="s">
        <v>20</v>
      </c>
      <c r="K60" s="4">
        <v>1</v>
      </c>
      <c r="L60" s="5">
        <v>50</v>
      </c>
      <c r="M60" s="5">
        <f>K60 * L60</f>
        <v>50</v>
      </c>
      <c r="N60" s="5">
        <f>M60 * $Q$4</f>
        <v>0.75</v>
      </c>
      <c r="O60" s="5">
        <f>M60* $Q$5</f>
        <v>1</v>
      </c>
    </row>
    <row r="61" spans="1:15">
      <c r="A61" s="2">
        <v>60</v>
      </c>
      <c r="B61" s="4">
        <f t="shared" si="0"/>
        <v>23</v>
      </c>
      <c r="C61" s="4">
        <f t="shared" si="1"/>
        <v>10</v>
      </c>
      <c r="D61" s="4">
        <f t="shared" si="2"/>
        <v>2023</v>
      </c>
      <c r="E61" s="3">
        <v>45222</v>
      </c>
      <c r="F61" s="4" t="s">
        <v>86</v>
      </c>
      <c r="G61" s="4" t="s">
        <v>16</v>
      </c>
      <c r="H61" s="4" t="str" cm="1">
        <f t="array" ref="H61">_xlfn.IFS(I61&lt;30, "Young Adult", I61&gt;=50, "Senior", I61&gt;=30, "Adult")</f>
        <v>Adult</v>
      </c>
      <c r="I61" s="4">
        <v>30</v>
      </c>
      <c r="J61" s="4" t="s">
        <v>17</v>
      </c>
      <c r="K61" s="4">
        <v>3</v>
      </c>
      <c r="L61" s="5">
        <v>50</v>
      </c>
      <c r="M61" s="5">
        <f>K61 * L61</f>
        <v>150</v>
      </c>
      <c r="N61" s="5">
        <f>M61 * $Q$4</f>
        <v>2.25</v>
      </c>
      <c r="O61" s="5">
        <f>M61* $Q$5</f>
        <v>3</v>
      </c>
    </row>
    <row r="62" spans="1:15">
      <c r="A62" s="2">
        <v>61</v>
      </c>
      <c r="B62" s="4">
        <f t="shared" si="0"/>
        <v>9</v>
      </c>
      <c r="C62" s="4">
        <f t="shared" si="1"/>
        <v>4</v>
      </c>
      <c r="D62" s="4">
        <f t="shared" si="2"/>
        <v>2023</v>
      </c>
      <c r="E62" s="3">
        <v>45025</v>
      </c>
      <c r="F62" s="4" t="s">
        <v>87</v>
      </c>
      <c r="G62" s="4" t="s">
        <v>16</v>
      </c>
      <c r="H62" s="4" t="str" cm="1">
        <f t="array" ref="H62">_xlfn.IFS(I62&lt;30, "Young Adult", I62&gt;=50, "Senior", I62&gt;=30, "Adult")</f>
        <v>Young Adult</v>
      </c>
      <c r="I62" s="4">
        <v>21</v>
      </c>
      <c r="J62" s="4" t="s">
        <v>17</v>
      </c>
      <c r="K62" s="4">
        <v>4</v>
      </c>
      <c r="L62" s="5">
        <v>50</v>
      </c>
      <c r="M62" s="5">
        <f>K62 * L62</f>
        <v>200</v>
      </c>
      <c r="N62" s="5">
        <f>M62 * $Q$4</f>
        <v>3</v>
      </c>
      <c r="O62" s="5">
        <f>M62* $Q$5</f>
        <v>4</v>
      </c>
    </row>
    <row r="63" spans="1:15">
      <c r="A63" s="2">
        <v>62</v>
      </c>
      <c r="B63" s="4">
        <f t="shared" si="0"/>
        <v>27</v>
      </c>
      <c r="C63" s="4">
        <f t="shared" si="1"/>
        <v>12</v>
      </c>
      <c r="D63" s="4">
        <f t="shared" si="2"/>
        <v>2023</v>
      </c>
      <c r="E63" s="3">
        <v>45287</v>
      </c>
      <c r="F63" s="4" t="s">
        <v>88</v>
      </c>
      <c r="G63" s="4" t="s">
        <v>16</v>
      </c>
      <c r="H63" s="4" t="str" cm="1">
        <f t="array" ref="H63">_xlfn.IFS(I63&lt;30, "Young Adult", I63&gt;=50, "Senior", I63&gt;=30, "Adult")</f>
        <v>Young Adult</v>
      </c>
      <c r="I63" s="4">
        <v>18</v>
      </c>
      <c r="J63" s="4" t="s">
        <v>17</v>
      </c>
      <c r="K63" s="4">
        <v>2</v>
      </c>
      <c r="L63" s="5">
        <v>50</v>
      </c>
      <c r="M63" s="5">
        <f>K63 * L63</f>
        <v>100</v>
      </c>
      <c r="N63" s="5">
        <f>M63 * $Q$4</f>
        <v>1.5</v>
      </c>
      <c r="O63" s="5">
        <f>M63* $Q$5</f>
        <v>2</v>
      </c>
    </row>
    <row r="64" spans="1:15">
      <c r="A64" s="2">
        <v>63</v>
      </c>
      <c r="B64" s="4">
        <f t="shared" si="0"/>
        <v>5</v>
      </c>
      <c r="C64" s="4">
        <f t="shared" si="1"/>
        <v>2</v>
      </c>
      <c r="D64" s="4">
        <f t="shared" si="2"/>
        <v>2023</v>
      </c>
      <c r="E64" s="3">
        <v>44962</v>
      </c>
      <c r="F64" s="4" t="s">
        <v>89</v>
      </c>
      <c r="G64" s="4" t="s">
        <v>16</v>
      </c>
      <c r="H64" s="4" t="str" cm="1">
        <f t="array" ref="H64">_xlfn.IFS(I64&lt;30, "Young Adult", I64&gt;=50, "Senior", I64&gt;=30, "Adult")</f>
        <v>Senior</v>
      </c>
      <c r="I64" s="4">
        <v>57</v>
      </c>
      <c r="J64" s="4" t="s">
        <v>24</v>
      </c>
      <c r="K64" s="4">
        <v>2</v>
      </c>
      <c r="L64" s="5">
        <v>25</v>
      </c>
      <c r="M64" s="5">
        <f>K64 * L64</f>
        <v>50</v>
      </c>
      <c r="N64" s="5">
        <f>M64 * $Q$4</f>
        <v>0.75</v>
      </c>
      <c r="O64" s="5">
        <f>M64* $Q$5</f>
        <v>1</v>
      </c>
    </row>
    <row r="65" spans="1:15">
      <c r="A65" s="2">
        <v>64</v>
      </c>
      <c r="B65" s="4">
        <f t="shared" si="0"/>
        <v>24</v>
      </c>
      <c r="C65" s="4">
        <f t="shared" si="1"/>
        <v>1</v>
      </c>
      <c r="D65" s="4">
        <f t="shared" si="2"/>
        <v>2023</v>
      </c>
      <c r="E65" s="3">
        <v>44950</v>
      </c>
      <c r="F65" s="4" t="s">
        <v>90</v>
      </c>
      <c r="G65" s="4" t="s">
        <v>16</v>
      </c>
      <c r="H65" s="4" t="str" cm="1">
        <f t="array" ref="H65">_xlfn.IFS(I65&lt;30, "Young Adult", I65&gt;=50, "Senior", I65&gt;=30, "Adult")</f>
        <v>Adult</v>
      </c>
      <c r="I65" s="4">
        <v>49</v>
      </c>
      <c r="J65" s="4" t="s">
        <v>20</v>
      </c>
      <c r="K65" s="4">
        <v>4</v>
      </c>
      <c r="L65" s="5">
        <v>25</v>
      </c>
      <c r="M65" s="5">
        <f>K65 * L65</f>
        <v>100</v>
      </c>
      <c r="N65" s="5">
        <f>M65 * $Q$4</f>
        <v>1.5</v>
      </c>
      <c r="O65" s="5">
        <f>M65* $Q$5</f>
        <v>2</v>
      </c>
    </row>
    <row r="66" spans="1:15">
      <c r="A66" s="2">
        <v>65</v>
      </c>
      <c r="B66" s="4">
        <f t="shared" si="0"/>
        <v>5</v>
      </c>
      <c r="C66" s="4">
        <f t="shared" si="1"/>
        <v>12</v>
      </c>
      <c r="D66" s="4">
        <f t="shared" si="2"/>
        <v>2023</v>
      </c>
      <c r="E66" s="3">
        <v>45265</v>
      </c>
      <c r="F66" s="4" t="s">
        <v>91</v>
      </c>
      <c r="G66" s="4" t="s">
        <v>16</v>
      </c>
      <c r="H66" s="4" t="str" cm="1">
        <f t="array" ref="H66">_xlfn.IFS(I66&lt;30, "Young Adult", I66&gt;=50, "Senior", I66&gt;=30, "Adult")</f>
        <v>Senior</v>
      </c>
      <c r="I66" s="4">
        <v>51</v>
      </c>
      <c r="J66" s="4" t="s">
        <v>24</v>
      </c>
      <c r="K66" s="4">
        <v>4</v>
      </c>
      <c r="L66" s="5">
        <v>500</v>
      </c>
      <c r="M66" s="5">
        <f>K66 * L66</f>
        <v>2000</v>
      </c>
      <c r="N66" s="5">
        <f>M66 * $Q$4</f>
        <v>30</v>
      </c>
      <c r="O66" s="5">
        <f>M66* $Q$5</f>
        <v>40</v>
      </c>
    </row>
    <row r="67" spans="1:15">
      <c r="A67" s="2">
        <v>66</v>
      </c>
      <c r="B67" s="4">
        <f t="shared" ref="B67:B130" si="3">DAY(E67)</f>
        <v>27</v>
      </c>
      <c r="C67" s="4">
        <f t="shared" ref="C67:C130" si="4">MONTH(E67)</f>
        <v>4</v>
      </c>
      <c r="D67" s="4">
        <f t="shared" ref="D67:D130" si="5">YEAR(E67)</f>
        <v>2023</v>
      </c>
      <c r="E67" s="3">
        <v>45043</v>
      </c>
      <c r="F67" s="4" t="s">
        <v>92</v>
      </c>
      <c r="G67" s="4" t="s">
        <v>19</v>
      </c>
      <c r="H67" s="4" t="str" cm="1">
        <f t="array" ref="H67">_xlfn.IFS(I67&lt;30, "Young Adult", I67&gt;=50, "Senior", I67&gt;=30, "Adult")</f>
        <v>Adult</v>
      </c>
      <c r="I67" s="4">
        <v>45</v>
      </c>
      <c r="J67" s="4" t="s">
        <v>24</v>
      </c>
      <c r="K67" s="4">
        <v>1</v>
      </c>
      <c r="L67" s="5">
        <v>30</v>
      </c>
      <c r="M67" s="5">
        <f>K67 * L67</f>
        <v>30</v>
      </c>
      <c r="N67" s="5">
        <f>M67 * $Q$4</f>
        <v>0.44999999999999996</v>
      </c>
      <c r="O67" s="5">
        <f>M67* $Q$5</f>
        <v>0.6</v>
      </c>
    </row>
    <row r="68" spans="1:15">
      <c r="A68" s="2">
        <v>67</v>
      </c>
      <c r="B68" s="4">
        <f t="shared" si="3"/>
        <v>29</v>
      </c>
      <c r="C68" s="4">
        <f t="shared" si="4"/>
        <v>5</v>
      </c>
      <c r="D68" s="4">
        <f t="shared" si="5"/>
        <v>2023</v>
      </c>
      <c r="E68" s="3">
        <v>45075</v>
      </c>
      <c r="F68" s="4" t="s">
        <v>93</v>
      </c>
      <c r="G68" s="4" t="s">
        <v>19</v>
      </c>
      <c r="H68" s="4" t="str" cm="1">
        <f t="array" ref="H68">_xlfn.IFS(I68&lt;30, "Young Adult", I68&gt;=50, "Senior", I68&gt;=30, "Adult")</f>
        <v>Adult</v>
      </c>
      <c r="I68" s="4">
        <v>48</v>
      </c>
      <c r="J68" s="4" t="s">
        <v>17</v>
      </c>
      <c r="K68" s="4">
        <v>4</v>
      </c>
      <c r="L68" s="5">
        <v>300</v>
      </c>
      <c r="M68" s="5">
        <f>K68 * L68</f>
        <v>1200</v>
      </c>
      <c r="N68" s="5">
        <f>M68 * $Q$4</f>
        <v>18</v>
      </c>
      <c r="O68" s="5">
        <f>M68* $Q$5</f>
        <v>24</v>
      </c>
    </row>
    <row r="69" spans="1:15">
      <c r="A69" s="2">
        <v>68</v>
      </c>
      <c r="B69" s="4">
        <f t="shared" si="3"/>
        <v>10</v>
      </c>
      <c r="C69" s="4">
        <f t="shared" si="4"/>
        <v>2</v>
      </c>
      <c r="D69" s="4">
        <f t="shared" si="5"/>
        <v>2023</v>
      </c>
      <c r="E69" s="3">
        <v>44967</v>
      </c>
      <c r="F69" s="4" t="s">
        <v>94</v>
      </c>
      <c r="G69" s="4" t="s">
        <v>16</v>
      </c>
      <c r="H69" s="4" t="str" cm="1">
        <f t="array" ref="H69">_xlfn.IFS(I69&lt;30, "Young Adult", I69&gt;=50, "Senior", I69&gt;=30, "Adult")</f>
        <v>Young Adult</v>
      </c>
      <c r="I69" s="4">
        <v>25</v>
      </c>
      <c r="J69" s="4" t="s">
        <v>24</v>
      </c>
      <c r="K69" s="4">
        <v>1</v>
      </c>
      <c r="L69" s="5">
        <v>300</v>
      </c>
      <c r="M69" s="5">
        <f>K69 * L69</f>
        <v>300</v>
      </c>
      <c r="N69" s="5">
        <f>M69 * $Q$4</f>
        <v>4.5</v>
      </c>
      <c r="O69" s="5">
        <f>M69* $Q$5</f>
        <v>6</v>
      </c>
    </row>
    <row r="70" spans="1:15">
      <c r="A70" s="2">
        <v>69</v>
      </c>
      <c r="B70" s="4">
        <f t="shared" si="3"/>
        <v>30</v>
      </c>
      <c r="C70" s="4">
        <f t="shared" si="4"/>
        <v>4</v>
      </c>
      <c r="D70" s="4">
        <f t="shared" si="5"/>
        <v>2023</v>
      </c>
      <c r="E70" s="3">
        <v>45046</v>
      </c>
      <c r="F70" s="4" t="s">
        <v>95</v>
      </c>
      <c r="G70" s="4" t="s">
        <v>19</v>
      </c>
      <c r="H70" s="4" t="str" cm="1">
        <f t="array" ref="H70">_xlfn.IFS(I70&lt;30, "Young Adult", I70&gt;=50, "Senior", I70&gt;=30, "Adult")</f>
        <v>Senior</v>
      </c>
      <c r="I70" s="4">
        <v>56</v>
      </c>
      <c r="J70" s="4" t="s">
        <v>17</v>
      </c>
      <c r="K70" s="4">
        <v>3</v>
      </c>
      <c r="L70" s="5">
        <v>25</v>
      </c>
      <c r="M70" s="5">
        <f>K70 * L70</f>
        <v>75</v>
      </c>
      <c r="N70" s="5">
        <f>M70 * $Q$4</f>
        <v>1.125</v>
      </c>
      <c r="O70" s="5">
        <f>M70* $Q$5</f>
        <v>1.5</v>
      </c>
    </row>
    <row r="71" spans="1:15">
      <c r="A71" s="2">
        <v>70</v>
      </c>
      <c r="B71" s="4">
        <f t="shared" si="3"/>
        <v>21</v>
      </c>
      <c r="C71" s="4">
        <f t="shared" si="4"/>
        <v>2</v>
      </c>
      <c r="D71" s="4">
        <f t="shared" si="5"/>
        <v>2023</v>
      </c>
      <c r="E71" s="3">
        <v>44978</v>
      </c>
      <c r="F71" s="4" t="s">
        <v>96</v>
      </c>
      <c r="G71" s="4" t="s">
        <v>19</v>
      </c>
      <c r="H71" s="4" t="str" cm="1">
        <f t="array" ref="H71">_xlfn.IFS(I71&lt;30, "Young Adult", I71&gt;=50, "Senior", I71&gt;=30, "Adult")</f>
        <v>Adult</v>
      </c>
      <c r="I71" s="4">
        <v>43</v>
      </c>
      <c r="J71" s="4" t="s">
        <v>20</v>
      </c>
      <c r="K71" s="4">
        <v>1</v>
      </c>
      <c r="L71" s="5">
        <v>300</v>
      </c>
      <c r="M71" s="5">
        <f>K71 * L71</f>
        <v>300</v>
      </c>
      <c r="N71" s="5">
        <f>M71 * $Q$4</f>
        <v>4.5</v>
      </c>
      <c r="O71" s="5">
        <f>M71* $Q$5</f>
        <v>6</v>
      </c>
    </row>
    <row r="72" spans="1:15">
      <c r="A72" s="2">
        <v>71</v>
      </c>
      <c r="B72" s="4">
        <f t="shared" si="3"/>
        <v>14</v>
      </c>
      <c r="C72" s="4">
        <f t="shared" si="4"/>
        <v>7</v>
      </c>
      <c r="D72" s="4">
        <f t="shared" si="5"/>
        <v>2023</v>
      </c>
      <c r="E72" s="3">
        <v>45121</v>
      </c>
      <c r="F72" s="4" t="s">
        <v>97</v>
      </c>
      <c r="G72" s="4" t="s">
        <v>19</v>
      </c>
      <c r="H72" s="4" t="str" cm="1">
        <f t="array" ref="H72">_xlfn.IFS(I72&lt;30, "Young Adult", I72&gt;=50, "Senior", I72&gt;=30, "Adult")</f>
        <v>Senior</v>
      </c>
      <c r="I72" s="4">
        <v>51</v>
      </c>
      <c r="J72" s="4" t="s">
        <v>17</v>
      </c>
      <c r="K72" s="4">
        <v>4</v>
      </c>
      <c r="L72" s="5">
        <v>25</v>
      </c>
      <c r="M72" s="5">
        <f>K72 * L72</f>
        <v>100</v>
      </c>
      <c r="N72" s="5">
        <f>M72 * $Q$4</f>
        <v>1.5</v>
      </c>
      <c r="O72" s="5">
        <f>M72* $Q$5</f>
        <v>2</v>
      </c>
    </row>
    <row r="73" spans="1:15">
      <c r="A73" s="2">
        <v>72</v>
      </c>
      <c r="B73" s="4">
        <f t="shared" si="3"/>
        <v>23</v>
      </c>
      <c r="C73" s="4">
        <f t="shared" si="4"/>
        <v>5</v>
      </c>
      <c r="D73" s="4">
        <f t="shared" si="5"/>
        <v>2023</v>
      </c>
      <c r="E73" s="3">
        <v>45069</v>
      </c>
      <c r="F73" s="4" t="s">
        <v>98</v>
      </c>
      <c r="G73" s="4" t="s">
        <v>19</v>
      </c>
      <c r="H73" s="4" t="str" cm="1">
        <f t="array" ref="H73">_xlfn.IFS(I73&lt;30, "Young Adult", I73&gt;=50, "Senior", I73&gt;=30, "Adult")</f>
        <v>Young Adult</v>
      </c>
      <c r="I73" s="4">
        <v>20</v>
      </c>
      <c r="J73" s="4" t="s">
        <v>24</v>
      </c>
      <c r="K73" s="4">
        <v>4</v>
      </c>
      <c r="L73" s="5">
        <v>500</v>
      </c>
      <c r="M73" s="5">
        <f>K73 * L73</f>
        <v>2000</v>
      </c>
      <c r="N73" s="5">
        <f>M73 * $Q$4</f>
        <v>30</v>
      </c>
      <c r="O73" s="5">
        <f>M73* $Q$5</f>
        <v>40</v>
      </c>
    </row>
    <row r="74" spans="1:15">
      <c r="A74" s="2">
        <v>73</v>
      </c>
      <c r="B74" s="4">
        <f t="shared" si="3"/>
        <v>21</v>
      </c>
      <c r="C74" s="4">
        <f t="shared" si="4"/>
        <v>8</v>
      </c>
      <c r="D74" s="4">
        <f t="shared" si="5"/>
        <v>2023</v>
      </c>
      <c r="E74" s="3">
        <v>45159</v>
      </c>
      <c r="F74" s="4" t="s">
        <v>99</v>
      </c>
      <c r="G74" s="4" t="s">
        <v>16</v>
      </c>
      <c r="H74" s="4" t="str" cm="1">
        <f t="array" ref="H74">_xlfn.IFS(I74&lt;30, "Young Adult", I74&gt;=50, "Senior", I74&gt;=30, "Adult")</f>
        <v>Young Adult</v>
      </c>
      <c r="I74" s="4">
        <v>29</v>
      </c>
      <c r="J74" s="4" t="s">
        <v>24</v>
      </c>
      <c r="K74" s="4">
        <v>3</v>
      </c>
      <c r="L74" s="5">
        <v>30</v>
      </c>
      <c r="M74" s="5">
        <f>K74 * L74</f>
        <v>90</v>
      </c>
      <c r="N74" s="5">
        <f>M74 * $Q$4</f>
        <v>1.3499999999999999</v>
      </c>
      <c r="O74" s="5">
        <f>M74* $Q$5</f>
        <v>1.8</v>
      </c>
    </row>
    <row r="75" spans="1:15">
      <c r="A75" s="2">
        <v>74</v>
      </c>
      <c r="B75" s="4">
        <f t="shared" si="3"/>
        <v>22</v>
      </c>
      <c r="C75" s="4">
        <f t="shared" si="4"/>
        <v>11</v>
      </c>
      <c r="D75" s="4">
        <f t="shared" si="5"/>
        <v>2023</v>
      </c>
      <c r="E75" s="3">
        <v>45252</v>
      </c>
      <c r="F75" s="4" t="s">
        <v>100</v>
      </c>
      <c r="G75" s="4" t="s">
        <v>19</v>
      </c>
      <c r="H75" s="4" t="str" cm="1">
        <f t="array" ref="H75">_xlfn.IFS(I75&lt;30, "Young Adult", I75&gt;=50, "Senior", I75&gt;=30, "Adult")</f>
        <v>Young Adult</v>
      </c>
      <c r="I75" s="4">
        <v>18</v>
      </c>
      <c r="J75" s="4" t="s">
        <v>17</v>
      </c>
      <c r="K75" s="4">
        <v>4</v>
      </c>
      <c r="L75" s="5">
        <v>500</v>
      </c>
      <c r="M75" s="5">
        <f>K75 * L75</f>
        <v>2000</v>
      </c>
      <c r="N75" s="5">
        <f>M75 * $Q$4</f>
        <v>30</v>
      </c>
      <c r="O75" s="5">
        <f>M75* $Q$5</f>
        <v>40</v>
      </c>
    </row>
    <row r="76" spans="1:15">
      <c r="A76" s="2">
        <v>75</v>
      </c>
      <c r="B76" s="4">
        <f t="shared" si="3"/>
        <v>6</v>
      </c>
      <c r="C76" s="4">
        <f t="shared" si="4"/>
        <v>7</v>
      </c>
      <c r="D76" s="4">
        <f t="shared" si="5"/>
        <v>2023</v>
      </c>
      <c r="E76" s="3">
        <v>45113</v>
      </c>
      <c r="F76" s="4" t="s">
        <v>101</v>
      </c>
      <c r="G76" s="4" t="s">
        <v>16</v>
      </c>
      <c r="H76" s="4" t="str" cm="1">
        <f t="array" ref="H76">_xlfn.IFS(I76&lt;30, "Young Adult", I76&gt;=50, "Senior", I76&gt;=30, "Adult")</f>
        <v>Senior</v>
      </c>
      <c r="I76" s="4">
        <v>61</v>
      </c>
      <c r="J76" s="4" t="s">
        <v>17</v>
      </c>
      <c r="K76" s="4">
        <v>4</v>
      </c>
      <c r="L76" s="5">
        <v>50</v>
      </c>
      <c r="M76" s="5">
        <f>K76 * L76</f>
        <v>200</v>
      </c>
      <c r="N76" s="5">
        <f>M76 * $Q$4</f>
        <v>3</v>
      </c>
      <c r="O76" s="5">
        <f>M76* $Q$5</f>
        <v>4</v>
      </c>
    </row>
    <row r="77" spans="1:15">
      <c r="A77" s="2">
        <v>76</v>
      </c>
      <c r="B77" s="4">
        <f t="shared" si="3"/>
        <v>25</v>
      </c>
      <c r="C77" s="4">
        <f t="shared" si="4"/>
        <v>3</v>
      </c>
      <c r="D77" s="4">
        <f t="shared" si="5"/>
        <v>2023</v>
      </c>
      <c r="E77" s="3">
        <v>45010</v>
      </c>
      <c r="F77" s="4" t="s">
        <v>102</v>
      </c>
      <c r="G77" s="4" t="s">
        <v>19</v>
      </c>
      <c r="H77" s="4" t="str" cm="1">
        <f t="array" ref="H77">_xlfn.IFS(I77&lt;30, "Young Adult", I77&gt;=50, "Senior", I77&gt;=30, "Adult")</f>
        <v>Young Adult</v>
      </c>
      <c r="I77" s="4">
        <v>22</v>
      </c>
      <c r="J77" s="4" t="s">
        <v>24</v>
      </c>
      <c r="K77" s="4">
        <v>2</v>
      </c>
      <c r="L77" s="5">
        <v>50</v>
      </c>
      <c r="M77" s="5">
        <f>K77 * L77</f>
        <v>100</v>
      </c>
      <c r="N77" s="5">
        <f>M77 * $Q$4</f>
        <v>1.5</v>
      </c>
      <c r="O77" s="5">
        <f>M77* $Q$5</f>
        <v>2</v>
      </c>
    </row>
    <row r="78" spans="1:15">
      <c r="A78" s="2">
        <v>77</v>
      </c>
      <c r="B78" s="4">
        <f t="shared" si="3"/>
        <v>9</v>
      </c>
      <c r="C78" s="4">
        <f t="shared" si="4"/>
        <v>7</v>
      </c>
      <c r="D78" s="4">
        <f t="shared" si="5"/>
        <v>2023</v>
      </c>
      <c r="E78" s="3">
        <v>45116</v>
      </c>
      <c r="F78" s="4" t="s">
        <v>103</v>
      </c>
      <c r="G78" s="4" t="s">
        <v>19</v>
      </c>
      <c r="H78" s="4" t="str" cm="1">
        <f t="array" ref="H78">_xlfn.IFS(I78&lt;30, "Young Adult", I78&gt;=50, "Senior", I78&gt;=30, "Adult")</f>
        <v>Adult</v>
      </c>
      <c r="I78" s="4">
        <v>47</v>
      </c>
      <c r="J78" s="4" t="s">
        <v>20</v>
      </c>
      <c r="K78" s="4">
        <v>2</v>
      </c>
      <c r="L78" s="5">
        <v>50</v>
      </c>
      <c r="M78" s="5">
        <f>K78 * L78</f>
        <v>100</v>
      </c>
      <c r="N78" s="5">
        <f>M78 * $Q$4</f>
        <v>1.5</v>
      </c>
      <c r="O78" s="5">
        <f>M78* $Q$5</f>
        <v>2</v>
      </c>
    </row>
    <row r="79" spans="1:15">
      <c r="A79" s="2">
        <v>78</v>
      </c>
      <c r="B79" s="4">
        <f t="shared" si="3"/>
        <v>1</v>
      </c>
      <c r="C79" s="4">
        <f t="shared" si="4"/>
        <v>7</v>
      </c>
      <c r="D79" s="4">
        <f t="shared" si="5"/>
        <v>2023</v>
      </c>
      <c r="E79" s="3">
        <v>45108</v>
      </c>
      <c r="F79" s="4" t="s">
        <v>104</v>
      </c>
      <c r="G79" s="4" t="s">
        <v>19</v>
      </c>
      <c r="H79" s="4" t="str" cm="1">
        <f t="array" ref="H79">_xlfn.IFS(I79&lt;30, "Young Adult", I79&gt;=50, "Senior", I79&gt;=30, "Adult")</f>
        <v>Adult</v>
      </c>
      <c r="I79" s="4">
        <v>47</v>
      </c>
      <c r="J79" s="4" t="s">
        <v>20</v>
      </c>
      <c r="K79" s="4">
        <v>3</v>
      </c>
      <c r="L79" s="5">
        <v>500</v>
      </c>
      <c r="M79" s="5">
        <f>K79 * L79</f>
        <v>1500</v>
      </c>
      <c r="N79" s="5">
        <f>M79 * $Q$4</f>
        <v>22.5</v>
      </c>
      <c r="O79" s="5">
        <f>M79* $Q$5</f>
        <v>30</v>
      </c>
    </row>
    <row r="80" spans="1:15">
      <c r="A80" s="2">
        <v>79</v>
      </c>
      <c r="B80" s="4">
        <f t="shared" si="3"/>
        <v>18</v>
      </c>
      <c r="C80" s="4">
        <f t="shared" si="4"/>
        <v>4</v>
      </c>
      <c r="D80" s="4">
        <f t="shared" si="5"/>
        <v>2023</v>
      </c>
      <c r="E80" s="3">
        <v>45034</v>
      </c>
      <c r="F80" s="4" t="s">
        <v>105</v>
      </c>
      <c r="G80" s="4" t="s">
        <v>16</v>
      </c>
      <c r="H80" s="4" t="str" cm="1">
        <f t="array" ref="H80">_xlfn.IFS(I80&lt;30, "Young Adult", I80&gt;=50, "Senior", I80&gt;=30, "Adult")</f>
        <v>Adult</v>
      </c>
      <c r="I80" s="4">
        <v>34</v>
      </c>
      <c r="J80" s="4" t="s">
        <v>17</v>
      </c>
      <c r="K80" s="4">
        <v>1</v>
      </c>
      <c r="L80" s="5">
        <v>300</v>
      </c>
      <c r="M80" s="5">
        <f>K80 * L80</f>
        <v>300</v>
      </c>
      <c r="N80" s="5">
        <f>M80 * $Q$4</f>
        <v>4.5</v>
      </c>
      <c r="O80" s="5">
        <f>M80* $Q$5</f>
        <v>6</v>
      </c>
    </row>
    <row r="81" spans="1:15">
      <c r="A81" s="2">
        <v>80</v>
      </c>
      <c r="B81" s="4">
        <f t="shared" si="3"/>
        <v>10</v>
      </c>
      <c r="C81" s="4">
        <f t="shared" si="4"/>
        <v>12</v>
      </c>
      <c r="D81" s="4">
        <f t="shared" si="5"/>
        <v>2023</v>
      </c>
      <c r="E81" s="3">
        <v>45270</v>
      </c>
      <c r="F81" s="4" t="s">
        <v>106</v>
      </c>
      <c r="G81" s="4" t="s">
        <v>19</v>
      </c>
      <c r="H81" s="4" t="str" cm="1">
        <f t="array" ref="H81">_xlfn.IFS(I81&lt;30, "Young Adult", I81&gt;=50, "Senior", I81&gt;=30, "Adult")</f>
        <v>Senior</v>
      </c>
      <c r="I81" s="4">
        <v>64</v>
      </c>
      <c r="J81" s="4" t="s">
        <v>20</v>
      </c>
      <c r="K81" s="4">
        <v>2</v>
      </c>
      <c r="L81" s="5">
        <v>30</v>
      </c>
      <c r="M81" s="5">
        <f>K81 * L81</f>
        <v>60</v>
      </c>
      <c r="N81" s="5">
        <f>M81 * $Q$4</f>
        <v>0.89999999999999991</v>
      </c>
      <c r="O81" s="5">
        <f>M81* $Q$5</f>
        <v>1.2</v>
      </c>
    </row>
    <row r="82" spans="1:15">
      <c r="A82" s="2">
        <v>81</v>
      </c>
      <c r="B82" s="4">
        <f t="shared" si="3"/>
        <v>17</v>
      </c>
      <c r="C82" s="4">
        <f t="shared" si="4"/>
        <v>5</v>
      </c>
      <c r="D82" s="4">
        <f t="shared" si="5"/>
        <v>2023</v>
      </c>
      <c r="E82" s="3">
        <v>45063</v>
      </c>
      <c r="F82" s="4" t="s">
        <v>107</v>
      </c>
      <c r="G82" s="4" t="s">
        <v>16</v>
      </c>
      <c r="H82" s="4" t="str" cm="1">
        <f t="array" ref="H82">_xlfn.IFS(I82&lt;30, "Young Adult", I82&gt;=50, "Senior", I82&gt;=30, "Adult")</f>
        <v>Adult</v>
      </c>
      <c r="I82" s="4">
        <v>40</v>
      </c>
      <c r="J82" s="4" t="s">
        <v>24</v>
      </c>
      <c r="K82" s="4">
        <v>1</v>
      </c>
      <c r="L82" s="5">
        <v>50</v>
      </c>
      <c r="M82" s="5">
        <f>K82 * L82</f>
        <v>50</v>
      </c>
      <c r="N82" s="5">
        <f>M82 * $Q$4</f>
        <v>0.75</v>
      </c>
      <c r="O82" s="5">
        <f>M82* $Q$5</f>
        <v>1</v>
      </c>
    </row>
    <row r="83" spans="1:15">
      <c r="A83" s="2">
        <v>82</v>
      </c>
      <c r="B83" s="4">
        <f t="shared" si="3"/>
        <v>26</v>
      </c>
      <c r="C83" s="4">
        <f t="shared" si="4"/>
        <v>12</v>
      </c>
      <c r="D83" s="4">
        <f t="shared" si="5"/>
        <v>2023</v>
      </c>
      <c r="E83" s="3">
        <v>45286</v>
      </c>
      <c r="F83" s="4" t="s">
        <v>108</v>
      </c>
      <c r="G83" s="4" t="s">
        <v>19</v>
      </c>
      <c r="H83" s="4" t="str" cm="1">
        <f t="array" ref="H83">_xlfn.IFS(I83&lt;30, "Young Adult", I83&gt;=50, "Senior", I83&gt;=30, "Adult")</f>
        <v>Adult</v>
      </c>
      <c r="I83" s="4">
        <v>32</v>
      </c>
      <c r="J83" s="4" t="s">
        <v>17</v>
      </c>
      <c r="K83" s="4">
        <v>4</v>
      </c>
      <c r="L83" s="5">
        <v>50</v>
      </c>
      <c r="M83" s="5">
        <f>K83 * L83</f>
        <v>200</v>
      </c>
      <c r="N83" s="5">
        <f>M83 * $Q$4</f>
        <v>3</v>
      </c>
      <c r="O83" s="5">
        <f>M83* $Q$5</f>
        <v>4</v>
      </c>
    </row>
    <row r="84" spans="1:15">
      <c r="A84" s="2">
        <v>83</v>
      </c>
      <c r="B84" s="4">
        <f t="shared" si="3"/>
        <v>16</v>
      </c>
      <c r="C84" s="4">
        <f t="shared" si="4"/>
        <v>12</v>
      </c>
      <c r="D84" s="4">
        <f t="shared" si="5"/>
        <v>2023</v>
      </c>
      <c r="E84" s="3">
        <v>45276</v>
      </c>
      <c r="F84" s="4" t="s">
        <v>109</v>
      </c>
      <c r="G84" s="4" t="s">
        <v>16</v>
      </c>
      <c r="H84" s="4" t="str" cm="1">
        <f t="array" ref="H84">_xlfn.IFS(I84&lt;30, "Young Adult", I84&gt;=50, "Senior", I84&gt;=30, "Adult")</f>
        <v>Senior</v>
      </c>
      <c r="I84" s="4">
        <v>54</v>
      </c>
      <c r="J84" s="4" t="s">
        <v>24</v>
      </c>
      <c r="K84" s="4">
        <v>2</v>
      </c>
      <c r="L84" s="5">
        <v>50</v>
      </c>
      <c r="M84" s="5">
        <f>K84 * L84</f>
        <v>100</v>
      </c>
      <c r="N84" s="5">
        <f>M84 * $Q$4</f>
        <v>1.5</v>
      </c>
      <c r="O84" s="5">
        <f>M84* $Q$5</f>
        <v>2</v>
      </c>
    </row>
    <row r="85" spans="1:15">
      <c r="A85" s="2">
        <v>84</v>
      </c>
      <c r="B85" s="4">
        <f t="shared" si="3"/>
        <v>28</v>
      </c>
      <c r="C85" s="4">
        <f t="shared" si="4"/>
        <v>11</v>
      </c>
      <c r="D85" s="4">
        <f t="shared" si="5"/>
        <v>2023</v>
      </c>
      <c r="E85" s="3">
        <v>45258</v>
      </c>
      <c r="F85" s="4" t="s">
        <v>110</v>
      </c>
      <c r="G85" s="4" t="s">
        <v>19</v>
      </c>
      <c r="H85" s="4" t="str" cm="1">
        <f t="array" ref="H85">_xlfn.IFS(I85&lt;30, "Young Adult", I85&gt;=50, "Senior", I85&gt;=30, "Adult")</f>
        <v>Adult</v>
      </c>
      <c r="I85" s="4">
        <v>38</v>
      </c>
      <c r="J85" s="4" t="s">
        <v>24</v>
      </c>
      <c r="K85" s="4">
        <v>3</v>
      </c>
      <c r="L85" s="5">
        <v>30</v>
      </c>
      <c r="M85" s="5">
        <f>K85 * L85</f>
        <v>90</v>
      </c>
      <c r="N85" s="5">
        <f>M85 * $Q$4</f>
        <v>1.3499999999999999</v>
      </c>
      <c r="O85" s="5">
        <f>M85* $Q$5</f>
        <v>1.8</v>
      </c>
    </row>
    <row r="86" spans="1:15">
      <c r="A86" s="2">
        <v>85</v>
      </c>
      <c r="B86" s="4">
        <f t="shared" si="3"/>
        <v>6</v>
      </c>
      <c r="C86" s="4">
        <f t="shared" si="4"/>
        <v>2</v>
      </c>
      <c r="D86" s="4">
        <f t="shared" si="5"/>
        <v>2023</v>
      </c>
      <c r="E86" s="3">
        <v>44963</v>
      </c>
      <c r="F86" s="4" t="s">
        <v>111</v>
      </c>
      <c r="G86" s="4" t="s">
        <v>16</v>
      </c>
      <c r="H86" s="4" t="str" cm="1">
        <f t="array" ref="H86">_xlfn.IFS(I86&lt;30, "Young Adult", I86&gt;=50, "Senior", I86&gt;=30, "Adult")</f>
        <v>Adult</v>
      </c>
      <c r="I86" s="4">
        <v>31</v>
      </c>
      <c r="J86" s="4" t="s">
        <v>20</v>
      </c>
      <c r="K86" s="4">
        <v>3</v>
      </c>
      <c r="L86" s="5">
        <v>50</v>
      </c>
      <c r="M86" s="5">
        <f>K86 * L86</f>
        <v>150</v>
      </c>
      <c r="N86" s="5">
        <f>M86 * $Q$4</f>
        <v>2.25</v>
      </c>
      <c r="O86" s="5">
        <f>M86* $Q$5</f>
        <v>3</v>
      </c>
    </row>
    <row r="87" spans="1:15">
      <c r="A87" s="2">
        <v>86</v>
      </c>
      <c r="B87" s="4">
        <f t="shared" si="3"/>
        <v>8</v>
      </c>
      <c r="C87" s="4">
        <f t="shared" si="4"/>
        <v>11</v>
      </c>
      <c r="D87" s="4">
        <f t="shared" si="5"/>
        <v>2023</v>
      </c>
      <c r="E87" s="3">
        <v>45238</v>
      </c>
      <c r="F87" s="4" t="s">
        <v>112</v>
      </c>
      <c r="G87" s="4" t="s">
        <v>16</v>
      </c>
      <c r="H87" s="4" t="str" cm="1">
        <f t="array" ref="H87">_xlfn.IFS(I87&lt;30, "Young Adult", I87&gt;=50, "Senior", I87&gt;=30, "Adult")</f>
        <v>Young Adult</v>
      </c>
      <c r="I87" s="4">
        <v>19</v>
      </c>
      <c r="J87" s="4" t="s">
        <v>17</v>
      </c>
      <c r="K87" s="4">
        <v>3</v>
      </c>
      <c r="L87" s="5">
        <v>30</v>
      </c>
      <c r="M87" s="5">
        <f>K87 * L87</f>
        <v>90</v>
      </c>
      <c r="N87" s="5">
        <f>M87 * $Q$4</f>
        <v>1.3499999999999999</v>
      </c>
      <c r="O87" s="5">
        <f>M87* $Q$5</f>
        <v>1.8</v>
      </c>
    </row>
    <row r="88" spans="1:15">
      <c r="A88" s="2">
        <v>87</v>
      </c>
      <c r="B88" s="4">
        <f t="shared" si="3"/>
        <v>22</v>
      </c>
      <c r="C88" s="4">
        <f t="shared" si="4"/>
        <v>11</v>
      </c>
      <c r="D88" s="4">
        <f t="shared" si="5"/>
        <v>2023</v>
      </c>
      <c r="E88" s="3">
        <v>45252</v>
      </c>
      <c r="F88" s="4" t="s">
        <v>113</v>
      </c>
      <c r="G88" s="4" t="s">
        <v>19</v>
      </c>
      <c r="H88" s="4" t="str" cm="1">
        <f t="array" ref="H88">_xlfn.IFS(I88&lt;30, "Young Adult", I88&gt;=50, "Senior", I88&gt;=30, "Adult")</f>
        <v>Young Adult</v>
      </c>
      <c r="I88" s="4">
        <v>28</v>
      </c>
      <c r="J88" s="4" t="s">
        <v>17</v>
      </c>
      <c r="K88" s="4">
        <v>2</v>
      </c>
      <c r="L88" s="5">
        <v>50</v>
      </c>
      <c r="M88" s="5">
        <f>K88 * L88</f>
        <v>100</v>
      </c>
      <c r="N88" s="5">
        <f>M88 * $Q$4</f>
        <v>1.5</v>
      </c>
      <c r="O88" s="5">
        <f>M88* $Q$5</f>
        <v>2</v>
      </c>
    </row>
    <row r="89" spans="1:15">
      <c r="A89" s="2">
        <v>88</v>
      </c>
      <c r="B89" s="4">
        <f t="shared" si="3"/>
        <v>29</v>
      </c>
      <c r="C89" s="4">
        <f t="shared" si="4"/>
        <v>3</v>
      </c>
      <c r="D89" s="4">
        <f t="shared" si="5"/>
        <v>2023</v>
      </c>
      <c r="E89" s="3">
        <v>45014</v>
      </c>
      <c r="F89" s="4" t="s">
        <v>114</v>
      </c>
      <c r="G89" s="4" t="s">
        <v>16</v>
      </c>
      <c r="H89" s="4" t="str" cm="1">
        <f t="array" ref="H89">_xlfn.IFS(I89&lt;30, "Young Adult", I89&gt;=50, "Senior", I89&gt;=30, "Adult")</f>
        <v>Senior</v>
      </c>
      <c r="I89" s="4">
        <v>56</v>
      </c>
      <c r="J89" s="4" t="s">
        <v>20</v>
      </c>
      <c r="K89" s="4">
        <v>1</v>
      </c>
      <c r="L89" s="5">
        <v>500</v>
      </c>
      <c r="M89" s="5">
        <f>K89 * L89</f>
        <v>500</v>
      </c>
      <c r="N89" s="5">
        <f>M89 * $Q$4</f>
        <v>7.5</v>
      </c>
      <c r="O89" s="5">
        <f>M89* $Q$5</f>
        <v>10</v>
      </c>
    </row>
    <row r="90" spans="1:15">
      <c r="A90" s="2">
        <v>89</v>
      </c>
      <c r="B90" s="4">
        <f t="shared" si="3"/>
        <v>1</v>
      </c>
      <c r="C90" s="4">
        <f t="shared" si="4"/>
        <v>10</v>
      </c>
      <c r="D90" s="4">
        <f t="shared" si="5"/>
        <v>2023</v>
      </c>
      <c r="E90" s="3">
        <v>45200</v>
      </c>
      <c r="F90" s="4" t="s">
        <v>115</v>
      </c>
      <c r="G90" s="4" t="s">
        <v>19</v>
      </c>
      <c r="H90" s="4" t="str" cm="1">
        <f t="array" ref="H90">_xlfn.IFS(I90&lt;30, "Young Adult", I90&gt;=50, "Senior", I90&gt;=30, "Adult")</f>
        <v>Senior</v>
      </c>
      <c r="I90" s="4">
        <v>55</v>
      </c>
      <c r="J90" s="4" t="s">
        <v>24</v>
      </c>
      <c r="K90" s="4">
        <v>4</v>
      </c>
      <c r="L90" s="5">
        <v>500</v>
      </c>
      <c r="M90" s="5">
        <f>K90 * L90</f>
        <v>2000</v>
      </c>
      <c r="N90" s="5">
        <f>M90 * $Q$4</f>
        <v>30</v>
      </c>
      <c r="O90" s="5">
        <f>M90* $Q$5</f>
        <v>40</v>
      </c>
    </row>
    <row r="91" spans="1:15">
      <c r="A91" s="2">
        <v>90</v>
      </c>
      <c r="B91" s="4">
        <f t="shared" si="3"/>
        <v>6</v>
      </c>
      <c r="C91" s="4">
        <f t="shared" si="4"/>
        <v>5</v>
      </c>
      <c r="D91" s="4">
        <f t="shared" si="5"/>
        <v>2023</v>
      </c>
      <c r="E91" s="3">
        <v>45052</v>
      </c>
      <c r="F91" s="4" t="s">
        <v>116</v>
      </c>
      <c r="G91" s="4" t="s">
        <v>19</v>
      </c>
      <c r="H91" s="4" t="str" cm="1">
        <f t="array" ref="H91">_xlfn.IFS(I91&lt;30, "Young Adult", I91&gt;=50, "Senior", I91&gt;=30, "Adult")</f>
        <v>Senior</v>
      </c>
      <c r="I91" s="4">
        <v>51</v>
      </c>
      <c r="J91" s="4" t="s">
        <v>24</v>
      </c>
      <c r="K91" s="4">
        <v>1</v>
      </c>
      <c r="L91" s="5">
        <v>30</v>
      </c>
      <c r="M91" s="5">
        <f>K91 * L91</f>
        <v>30</v>
      </c>
      <c r="N91" s="5">
        <f>M91 * $Q$4</f>
        <v>0.44999999999999996</v>
      </c>
      <c r="O91" s="5">
        <f>M91* $Q$5</f>
        <v>0.6</v>
      </c>
    </row>
    <row r="92" spans="1:15">
      <c r="A92" s="2">
        <v>91</v>
      </c>
      <c r="B92" s="4">
        <f t="shared" si="3"/>
        <v>25</v>
      </c>
      <c r="C92" s="4">
        <f t="shared" si="4"/>
        <v>3</v>
      </c>
      <c r="D92" s="4">
        <f t="shared" si="5"/>
        <v>2023</v>
      </c>
      <c r="E92" s="3">
        <v>45010</v>
      </c>
      <c r="F92" s="4" t="s">
        <v>117</v>
      </c>
      <c r="G92" s="4" t="s">
        <v>19</v>
      </c>
      <c r="H92" s="4" t="str" cm="1">
        <f t="array" ref="H92">_xlfn.IFS(I92&lt;30, "Young Adult", I92&gt;=50, "Senior", I92&gt;=30, "Adult")</f>
        <v>Senior</v>
      </c>
      <c r="I92" s="4">
        <v>55</v>
      </c>
      <c r="J92" s="4" t="s">
        <v>24</v>
      </c>
      <c r="K92" s="4">
        <v>1</v>
      </c>
      <c r="L92" s="5">
        <v>500</v>
      </c>
      <c r="M92" s="5">
        <f>K92 * L92</f>
        <v>500</v>
      </c>
      <c r="N92" s="5">
        <f>M92 * $Q$4</f>
        <v>7.5</v>
      </c>
      <c r="O92" s="5">
        <f>M92* $Q$5</f>
        <v>10</v>
      </c>
    </row>
    <row r="93" spans="1:15">
      <c r="A93" s="2">
        <v>92</v>
      </c>
      <c r="B93" s="4">
        <f t="shared" si="3"/>
        <v>25</v>
      </c>
      <c r="C93" s="4">
        <f t="shared" si="4"/>
        <v>8</v>
      </c>
      <c r="D93" s="4">
        <f t="shared" si="5"/>
        <v>2023</v>
      </c>
      <c r="E93" s="3">
        <v>45163</v>
      </c>
      <c r="F93" s="4" t="s">
        <v>118</v>
      </c>
      <c r="G93" s="4" t="s">
        <v>19</v>
      </c>
      <c r="H93" s="4" t="str" cm="1">
        <f t="array" ref="H93">_xlfn.IFS(I93&lt;30, "Young Adult", I93&gt;=50, "Senior", I93&gt;=30, "Adult")</f>
        <v>Senior</v>
      </c>
      <c r="I93" s="4">
        <v>51</v>
      </c>
      <c r="J93" s="4" t="s">
        <v>24</v>
      </c>
      <c r="K93" s="4">
        <v>4</v>
      </c>
      <c r="L93" s="5">
        <v>30</v>
      </c>
      <c r="M93" s="5">
        <f>K93 * L93</f>
        <v>120</v>
      </c>
      <c r="N93" s="5">
        <f>M93 * $Q$4</f>
        <v>1.7999999999999998</v>
      </c>
      <c r="O93" s="5">
        <f>M93* $Q$5</f>
        <v>2.4</v>
      </c>
    </row>
    <row r="94" spans="1:15">
      <c r="A94" s="2">
        <v>93</v>
      </c>
      <c r="B94" s="4">
        <f t="shared" si="3"/>
        <v>14</v>
      </c>
      <c r="C94" s="4">
        <f t="shared" si="4"/>
        <v>7</v>
      </c>
      <c r="D94" s="4">
        <f t="shared" si="5"/>
        <v>2023</v>
      </c>
      <c r="E94" s="3">
        <v>45121</v>
      </c>
      <c r="F94" s="4" t="s">
        <v>119</v>
      </c>
      <c r="G94" s="4" t="s">
        <v>19</v>
      </c>
      <c r="H94" s="4" t="str" cm="1">
        <f t="array" ref="H94">_xlfn.IFS(I94&lt;30, "Young Adult", I94&gt;=50, "Senior", I94&gt;=30, "Adult")</f>
        <v>Adult</v>
      </c>
      <c r="I94" s="4">
        <v>35</v>
      </c>
      <c r="J94" s="4" t="s">
        <v>17</v>
      </c>
      <c r="K94" s="4">
        <v>4</v>
      </c>
      <c r="L94" s="5">
        <v>500</v>
      </c>
      <c r="M94" s="5">
        <f>K94 * L94</f>
        <v>2000</v>
      </c>
      <c r="N94" s="5">
        <f>M94 * $Q$4</f>
        <v>30</v>
      </c>
      <c r="O94" s="5">
        <f>M94* $Q$5</f>
        <v>40</v>
      </c>
    </row>
    <row r="95" spans="1:15">
      <c r="A95" s="2">
        <v>94</v>
      </c>
      <c r="B95" s="4">
        <f t="shared" si="3"/>
        <v>19</v>
      </c>
      <c r="C95" s="4">
        <f t="shared" si="4"/>
        <v>5</v>
      </c>
      <c r="D95" s="4">
        <f t="shared" si="5"/>
        <v>2023</v>
      </c>
      <c r="E95" s="3">
        <v>45065</v>
      </c>
      <c r="F95" s="4" t="s">
        <v>120</v>
      </c>
      <c r="G95" s="4" t="s">
        <v>19</v>
      </c>
      <c r="H95" s="4" t="str" cm="1">
        <f t="array" ref="H95">_xlfn.IFS(I95&lt;30, "Young Adult", I95&gt;=50, "Senior", I95&gt;=30, "Adult")</f>
        <v>Adult</v>
      </c>
      <c r="I95" s="4">
        <v>47</v>
      </c>
      <c r="J95" s="4" t="s">
        <v>17</v>
      </c>
      <c r="K95" s="4">
        <v>2</v>
      </c>
      <c r="L95" s="5">
        <v>500</v>
      </c>
      <c r="M95" s="5">
        <f>K95 * L95</f>
        <v>1000</v>
      </c>
      <c r="N95" s="5">
        <f>M95 * $Q$4</f>
        <v>15</v>
      </c>
      <c r="O95" s="5">
        <f>M95* $Q$5</f>
        <v>20</v>
      </c>
    </row>
    <row r="96" spans="1:15">
      <c r="A96" s="2">
        <v>95</v>
      </c>
      <c r="B96" s="4">
        <f t="shared" si="3"/>
        <v>24</v>
      </c>
      <c r="C96" s="4">
        <f t="shared" si="4"/>
        <v>11</v>
      </c>
      <c r="D96" s="4">
        <f t="shared" si="5"/>
        <v>2023</v>
      </c>
      <c r="E96" s="3">
        <v>45254</v>
      </c>
      <c r="F96" s="4" t="s">
        <v>121</v>
      </c>
      <c r="G96" s="4" t="s">
        <v>19</v>
      </c>
      <c r="H96" s="4" t="str" cm="1">
        <f t="array" ref="H96">_xlfn.IFS(I96&lt;30, "Young Adult", I96&gt;=50, "Senior", I96&gt;=30, "Adult")</f>
        <v>Adult</v>
      </c>
      <c r="I96" s="4">
        <v>32</v>
      </c>
      <c r="J96" s="4" t="s">
        <v>20</v>
      </c>
      <c r="K96" s="4">
        <v>2</v>
      </c>
      <c r="L96" s="5">
        <v>30</v>
      </c>
      <c r="M96" s="5">
        <f>K96 * L96</f>
        <v>60</v>
      </c>
      <c r="N96" s="5">
        <f>M96 * $Q$4</f>
        <v>0.89999999999999991</v>
      </c>
      <c r="O96" s="5">
        <f>M96* $Q$5</f>
        <v>1.2</v>
      </c>
    </row>
    <row r="97" spans="1:15">
      <c r="A97" s="2">
        <v>96</v>
      </c>
      <c r="B97" s="4">
        <f t="shared" si="3"/>
        <v>19</v>
      </c>
      <c r="C97" s="4">
        <f t="shared" si="4"/>
        <v>12</v>
      </c>
      <c r="D97" s="4">
        <f t="shared" si="5"/>
        <v>2023</v>
      </c>
      <c r="E97" s="3">
        <v>45279</v>
      </c>
      <c r="F97" s="4" t="s">
        <v>122</v>
      </c>
      <c r="G97" s="4" t="s">
        <v>19</v>
      </c>
      <c r="H97" s="4" t="str" cm="1">
        <f t="array" ref="H97">_xlfn.IFS(I97&lt;30, "Young Adult", I97&gt;=50, "Senior", I97&gt;=30, "Adult")</f>
        <v>Adult</v>
      </c>
      <c r="I97" s="4">
        <v>44</v>
      </c>
      <c r="J97" s="4" t="s">
        <v>20</v>
      </c>
      <c r="K97" s="4">
        <v>2</v>
      </c>
      <c r="L97" s="5">
        <v>300</v>
      </c>
      <c r="M97" s="5">
        <f>K97 * L97</f>
        <v>600</v>
      </c>
      <c r="N97" s="5">
        <f>M97 * $Q$4</f>
        <v>9</v>
      </c>
      <c r="O97" s="5">
        <f>M97* $Q$5</f>
        <v>12</v>
      </c>
    </row>
    <row r="98" spans="1:15">
      <c r="A98" s="2">
        <v>97</v>
      </c>
      <c r="B98" s="4">
        <f t="shared" si="3"/>
        <v>13</v>
      </c>
      <c r="C98" s="4">
        <f t="shared" si="4"/>
        <v>10</v>
      </c>
      <c r="D98" s="4">
        <f t="shared" si="5"/>
        <v>2023</v>
      </c>
      <c r="E98" s="3">
        <v>45212</v>
      </c>
      <c r="F98" s="4" t="s">
        <v>123</v>
      </c>
      <c r="G98" s="4" t="s">
        <v>19</v>
      </c>
      <c r="H98" s="4" t="str" cm="1">
        <f t="array" ref="H98">_xlfn.IFS(I98&lt;30, "Young Adult", I98&gt;=50, "Senior", I98&gt;=30, "Adult")</f>
        <v>Senior</v>
      </c>
      <c r="I98" s="4">
        <v>51</v>
      </c>
      <c r="J98" s="4" t="s">
        <v>17</v>
      </c>
      <c r="K98" s="4">
        <v>2</v>
      </c>
      <c r="L98" s="5">
        <v>500</v>
      </c>
      <c r="M98" s="5">
        <f>K98 * L98</f>
        <v>1000</v>
      </c>
      <c r="N98" s="5">
        <f>M98 * $Q$4</f>
        <v>15</v>
      </c>
      <c r="O98" s="5">
        <f>M98* $Q$5</f>
        <v>20</v>
      </c>
    </row>
    <row r="99" spans="1:15">
      <c r="A99" s="2">
        <v>98</v>
      </c>
      <c r="B99" s="4">
        <f t="shared" si="3"/>
        <v>23</v>
      </c>
      <c r="C99" s="4">
        <f t="shared" si="4"/>
        <v>4</v>
      </c>
      <c r="D99" s="4">
        <f t="shared" si="5"/>
        <v>2023</v>
      </c>
      <c r="E99" s="3">
        <v>45039</v>
      </c>
      <c r="F99" s="4" t="s">
        <v>124</v>
      </c>
      <c r="G99" s="4" t="s">
        <v>19</v>
      </c>
      <c r="H99" s="4" t="str" cm="1">
        <f t="array" ref="H99">_xlfn.IFS(I99&lt;30, "Young Adult", I99&gt;=50, "Senior", I99&gt;=30, "Adult")</f>
        <v>Senior</v>
      </c>
      <c r="I99" s="4">
        <v>55</v>
      </c>
      <c r="J99" s="4" t="s">
        <v>17</v>
      </c>
      <c r="K99" s="4">
        <v>2</v>
      </c>
      <c r="L99" s="5">
        <v>50</v>
      </c>
      <c r="M99" s="5">
        <f>K99 * L99</f>
        <v>100</v>
      </c>
      <c r="N99" s="5">
        <f>M99 * $Q$4</f>
        <v>1.5</v>
      </c>
      <c r="O99" s="5">
        <f>M99* $Q$5</f>
        <v>2</v>
      </c>
    </row>
    <row r="100" spans="1:15">
      <c r="A100" s="2">
        <v>99</v>
      </c>
      <c r="B100" s="4">
        <f t="shared" si="3"/>
        <v>17</v>
      </c>
      <c r="C100" s="4">
        <f t="shared" si="4"/>
        <v>12</v>
      </c>
      <c r="D100" s="4">
        <f t="shared" si="5"/>
        <v>2023</v>
      </c>
      <c r="E100" s="3">
        <v>45277</v>
      </c>
      <c r="F100" s="4" t="s">
        <v>125</v>
      </c>
      <c r="G100" s="4" t="s">
        <v>19</v>
      </c>
      <c r="H100" s="4" t="str" cm="1">
        <f t="array" ref="H100">_xlfn.IFS(I100&lt;30, "Young Adult", I100&gt;=50, "Senior", I100&gt;=30, "Adult")</f>
        <v>Senior</v>
      </c>
      <c r="I100" s="4">
        <v>50</v>
      </c>
      <c r="J100" s="4" t="s">
        <v>24</v>
      </c>
      <c r="K100" s="4">
        <v>4</v>
      </c>
      <c r="L100" s="5">
        <v>300</v>
      </c>
      <c r="M100" s="5">
        <f>K100 * L100</f>
        <v>1200</v>
      </c>
      <c r="N100" s="5">
        <f>M100 * $Q$4</f>
        <v>18</v>
      </c>
      <c r="O100" s="5">
        <f>M100* $Q$5</f>
        <v>24</v>
      </c>
    </row>
    <row r="101" spans="1:15">
      <c r="A101" s="2">
        <v>100</v>
      </c>
      <c r="B101" s="4">
        <f t="shared" si="3"/>
        <v>16</v>
      </c>
      <c r="C101" s="4">
        <f t="shared" si="4"/>
        <v>6</v>
      </c>
      <c r="D101" s="4">
        <f t="shared" si="5"/>
        <v>2023</v>
      </c>
      <c r="E101" s="3">
        <v>45093</v>
      </c>
      <c r="F101" s="4" t="s">
        <v>126</v>
      </c>
      <c r="G101" s="4" t="s">
        <v>16</v>
      </c>
      <c r="H101" s="4" t="str" cm="1">
        <f t="array" ref="H101">_xlfn.IFS(I101&lt;30, "Young Adult", I101&gt;=50, "Senior", I101&gt;=30, "Adult")</f>
        <v>Adult</v>
      </c>
      <c r="I101" s="4">
        <v>41</v>
      </c>
      <c r="J101" s="4" t="s">
        <v>24</v>
      </c>
      <c r="K101" s="4">
        <v>1</v>
      </c>
      <c r="L101" s="5">
        <v>30</v>
      </c>
      <c r="M101" s="5">
        <f>K101 * L101</f>
        <v>30</v>
      </c>
      <c r="N101" s="5">
        <f>M101 * $Q$4</f>
        <v>0.44999999999999996</v>
      </c>
      <c r="O101" s="5">
        <f>M101* $Q$5</f>
        <v>0.6</v>
      </c>
    </row>
    <row r="102" spans="1:15">
      <c r="A102" s="2">
        <v>101</v>
      </c>
      <c r="B102" s="4">
        <f t="shared" si="3"/>
        <v>29</v>
      </c>
      <c r="C102" s="4">
        <f t="shared" si="4"/>
        <v>1</v>
      </c>
      <c r="D102" s="4">
        <f t="shared" si="5"/>
        <v>2023</v>
      </c>
      <c r="E102" s="3">
        <v>44955</v>
      </c>
      <c r="F102" s="4" t="s">
        <v>127</v>
      </c>
      <c r="G102" s="4" t="s">
        <v>16</v>
      </c>
      <c r="H102" s="4" t="str" cm="1">
        <f t="array" ref="H102">_xlfn.IFS(I102&lt;30, "Young Adult", I102&gt;=50, "Senior", I102&gt;=30, "Adult")</f>
        <v>Adult</v>
      </c>
      <c r="I102" s="4">
        <v>32</v>
      </c>
      <c r="J102" s="4" t="s">
        <v>20</v>
      </c>
      <c r="K102" s="4">
        <v>2</v>
      </c>
      <c r="L102" s="5">
        <v>300</v>
      </c>
      <c r="M102" s="5">
        <f>K102 * L102</f>
        <v>600</v>
      </c>
      <c r="N102" s="5">
        <f>M102 * $Q$4</f>
        <v>9</v>
      </c>
      <c r="O102" s="5">
        <f>M102* $Q$5</f>
        <v>12</v>
      </c>
    </row>
    <row r="103" spans="1:15">
      <c r="A103" s="2">
        <v>102</v>
      </c>
      <c r="B103" s="4">
        <f t="shared" si="3"/>
        <v>28</v>
      </c>
      <c r="C103" s="4">
        <f t="shared" si="4"/>
        <v>4</v>
      </c>
      <c r="D103" s="4">
        <f t="shared" si="5"/>
        <v>2023</v>
      </c>
      <c r="E103" s="3">
        <v>45044</v>
      </c>
      <c r="F103" s="4" t="s">
        <v>128</v>
      </c>
      <c r="G103" s="4" t="s">
        <v>19</v>
      </c>
      <c r="H103" s="4" t="str" cm="1">
        <f t="array" ref="H103">_xlfn.IFS(I103&lt;30, "Young Adult", I103&gt;=50, "Senior", I103&gt;=30, "Adult")</f>
        <v>Adult</v>
      </c>
      <c r="I103" s="4">
        <v>47</v>
      </c>
      <c r="J103" s="4" t="s">
        <v>17</v>
      </c>
      <c r="K103" s="4">
        <v>2</v>
      </c>
      <c r="L103" s="5">
        <v>25</v>
      </c>
      <c r="M103" s="5">
        <f>K103 * L103</f>
        <v>50</v>
      </c>
      <c r="N103" s="5">
        <f>M103 * $Q$4</f>
        <v>0.75</v>
      </c>
      <c r="O103" s="5">
        <f>M103* $Q$5</f>
        <v>1</v>
      </c>
    </row>
    <row r="104" spans="1:15">
      <c r="A104" s="2">
        <v>103</v>
      </c>
      <c r="B104" s="4">
        <f t="shared" si="3"/>
        <v>17</v>
      </c>
      <c r="C104" s="4">
        <f t="shared" si="4"/>
        <v>1</v>
      </c>
      <c r="D104" s="4">
        <f t="shared" si="5"/>
        <v>2023</v>
      </c>
      <c r="E104" s="3">
        <v>44943</v>
      </c>
      <c r="F104" s="4" t="s">
        <v>129</v>
      </c>
      <c r="G104" s="4" t="s">
        <v>19</v>
      </c>
      <c r="H104" s="4" t="str" cm="1">
        <f t="array" ref="H104">_xlfn.IFS(I104&lt;30, "Young Adult", I104&gt;=50, "Senior", I104&gt;=30, "Adult")</f>
        <v>Senior</v>
      </c>
      <c r="I104" s="4">
        <v>59</v>
      </c>
      <c r="J104" s="4" t="s">
        <v>20</v>
      </c>
      <c r="K104" s="4">
        <v>1</v>
      </c>
      <c r="L104" s="5">
        <v>25</v>
      </c>
      <c r="M104" s="5">
        <f>K104 * L104</f>
        <v>25</v>
      </c>
      <c r="N104" s="5">
        <f>M104 * $Q$4</f>
        <v>0.375</v>
      </c>
      <c r="O104" s="5">
        <f>M104* $Q$5</f>
        <v>0.5</v>
      </c>
    </row>
    <row r="105" spans="1:15">
      <c r="A105" s="2">
        <v>104</v>
      </c>
      <c r="B105" s="4">
        <f t="shared" si="3"/>
        <v>11</v>
      </c>
      <c r="C105" s="4">
        <f t="shared" si="4"/>
        <v>6</v>
      </c>
      <c r="D105" s="4">
        <f t="shared" si="5"/>
        <v>2023</v>
      </c>
      <c r="E105" s="3">
        <v>45088</v>
      </c>
      <c r="F105" s="4" t="s">
        <v>130</v>
      </c>
      <c r="G105" s="4" t="s">
        <v>19</v>
      </c>
      <c r="H105" s="4" t="str" cm="1">
        <f t="array" ref="H105">_xlfn.IFS(I105&lt;30, "Young Adult", I105&gt;=50, "Senior", I105&gt;=30, "Adult")</f>
        <v>Adult</v>
      </c>
      <c r="I105" s="4">
        <v>34</v>
      </c>
      <c r="J105" s="4" t="s">
        <v>17</v>
      </c>
      <c r="K105" s="4">
        <v>2</v>
      </c>
      <c r="L105" s="5">
        <v>500</v>
      </c>
      <c r="M105" s="5">
        <f>K105 * L105</f>
        <v>1000</v>
      </c>
      <c r="N105" s="5">
        <f>M105 * $Q$4</f>
        <v>15</v>
      </c>
      <c r="O105" s="5">
        <f>M105* $Q$5</f>
        <v>20</v>
      </c>
    </row>
    <row r="106" spans="1:15">
      <c r="A106" s="2">
        <v>105</v>
      </c>
      <c r="B106" s="4">
        <f t="shared" si="3"/>
        <v>25</v>
      </c>
      <c r="C106" s="4">
        <f t="shared" si="4"/>
        <v>7</v>
      </c>
      <c r="D106" s="4">
        <f t="shared" si="5"/>
        <v>2023</v>
      </c>
      <c r="E106" s="3">
        <v>45132</v>
      </c>
      <c r="F106" s="4" t="s">
        <v>131</v>
      </c>
      <c r="G106" s="4" t="s">
        <v>19</v>
      </c>
      <c r="H106" s="4" t="str" cm="1">
        <f t="array" ref="H106">_xlfn.IFS(I106&lt;30, "Young Adult", I106&gt;=50, "Senior", I106&gt;=30, "Adult")</f>
        <v>Young Adult</v>
      </c>
      <c r="I106" s="4">
        <v>22</v>
      </c>
      <c r="J106" s="4" t="s">
        <v>24</v>
      </c>
      <c r="K106" s="4">
        <v>1</v>
      </c>
      <c r="L106" s="5">
        <v>500</v>
      </c>
      <c r="M106" s="5">
        <f>K106 * L106</f>
        <v>500</v>
      </c>
      <c r="N106" s="5">
        <f>M106 * $Q$4</f>
        <v>7.5</v>
      </c>
      <c r="O106" s="5">
        <f>M106* $Q$5</f>
        <v>10</v>
      </c>
    </row>
    <row r="107" spans="1:15">
      <c r="A107" s="2">
        <v>106</v>
      </c>
      <c r="B107" s="4">
        <f t="shared" si="3"/>
        <v>18</v>
      </c>
      <c r="C107" s="4">
        <f t="shared" si="4"/>
        <v>5</v>
      </c>
      <c r="D107" s="4">
        <f t="shared" si="5"/>
        <v>2023</v>
      </c>
      <c r="E107" s="3">
        <v>45064</v>
      </c>
      <c r="F107" s="4" t="s">
        <v>132</v>
      </c>
      <c r="G107" s="4" t="s">
        <v>19</v>
      </c>
      <c r="H107" s="4" t="str" cm="1">
        <f t="array" ref="H107">_xlfn.IFS(I107&lt;30, "Young Adult", I107&gt;=50, "Senior", I107&gt;=30, "Adult")</f>
        <v>Adult</v>
      </c>
      <c r="I107" s="4">
        <v>46</v>
      </c>
      <c r="J107" s="4" t="s">
        <v>20</v>
      </c>
      <c r="K107" s="4">
        <v>1</v>
      </c>
      <c r="L107" s="5">
        <v>50</v>
      </c>
      <c r="M107" s="5">
        <f>K107 * L107</f>
        <v>50</v>
      </c>
      <c r="N107" s="5">
        <f>M107 * $Q$4</f>
        <v>0.75</v>
      </c>
      <c r="O107" s="5">
        <f>M107* $Q$5</f>
        <v>1</v>
      </c>
    </row>
    <row r="108" spans="1:15">
      <c r="A108" s="2">
        <v>107</v>
      </c>
      <c r="B108" s="4">
        <f t="shared" si="3"/>
        <v>3</v>
      </c>
      <c r="C108" s="4">
        <f t="shared" si="4"/>
        <v>2</v>
      </c>
      <c r="D108" s="4">
        <f t="shared" si="5"/>
        <v>2023</v>
      </c>
      <c r="E108" s="3">
        <v>44960</v>
      </c>
      <c r="F108" s="4" t="s">
        <v>133</v>
      </c>
      <c r="G108" s="4" t="s">
        <v>19</v>
      </c>
      <c r="H108" s="4" t="str" cm="1">
        <f t="array" ref="H108">_xlfn.IFS(I108&lt;30, "Young Adult", I108&gt;=50, "Senior", I108&gt;=30, "Adult")</f>
        <v>Young Adult</v>
      </c>
      <c r="I108" s="4">
        <v>21</v>
      </c>
      <c r="J108" s="4" t="s">
        <v>20</v>
      </c>
      <c r="K108" s="4">
        <v>4</v>
      </c>
      <c r="L108" s="5">
        <v>300</v>
      </c>
      <c r="M108" s="5">
        <f>K108 * L108</f>
        <v>1200</v>
      </c>
      <c r="N108" s="5">
        <f>M108 * $Q$4</f>
        <v>18</v>
      </c>
      <c r="O108" s="5">
        <f>M108* $Q$5</f>
        <v>24</v>
      </c>
    </row>
    <row r="109" spans="1:15">
      <c r="A109" s="2">
        <v>108</v>
      </c>
      <c r="B109" s="4">
        <f t="shared" si="3"/>
        <v>19</v>
      </c>
      <c r="C109" s="4">
        <f t="shared" si="4"/>
        <v>4</v>
      </c>
      <c r="D109" s="4">
        <f t="shared" si="5"/>
        <v>2023</v>
      </c>
      <c r="E109" s="3">
        <v>45035</v>
      </c>
      <c r="F109" s="4" t="s">
        <v>134</v>
      </c>
      <c r="G109" s="4" t="s">
        <v>19</v>
      </c>
      <c r="H109" s="4" t="str" cm="1">
        <f t="array" ref="H109">_xlfn.IFS(I109&lt;30, "Young Adult", I109&gt;=50, "Senior", I109&gt;=30, "Adult")</f>
        <v>Young Adult</v>
      </c>
      <c r="I109" s="4">
        <v>27</v>
      </c>
      <c r="J109" s="4" t="s">
        <v>17</v>
      </c>
      <c r="K109" s="4">
        <v>3</v>
      </c>
      <c r="L109" s="5">
        <v>25</v>
      </c>
      <c r="M109" s="5">
        <f>K109 * L109</f>
        <v>75</v>
      </c>
      <c r="N109" s="5">
        <f>M109 * $Q$4</f>
        <v>1.125</v>
      </c>
      <c r="O109" s="5">
        <f>M109* $Q$5</f>
        <v>1.5</v>
      </c>
    </row>
    <row r="110" spans="1:15">
      <c r="A110" s="2">
        <v>109</v>
      </c>
      <c r="B110" s="4">
        <f t="shared" si="3"/>
        <v>18</v>
      </c>
      <c r="C110" s="4">
        <f t="shared" si="4"/>
        <v>10</v>
      </c>
      <c r="D110" s="4">
        <f t="shared" si="5"/>
        <v>2023</v>
      </c>
      <c r="E110" s="3">
        <v>45217</v>
      </c>
      <c r="F110" s="4" t="s">
        <v>135</v>
      </c>
      <c r="G110" s="4" t="s">
        <v>19</v>
      </c>
      <c r="H110" s="4" t="str" cm="1">
        <f t="array" ref="H110">_xlfn.IFS(I110&lt;30, "Young Adult", I110&gt;=50, "Senior", I110&gt;=30, "Adult")</f>
        <v>Adult</v>
      </c>
      <c r="I110" s="4">
        <v>34</v>
      </c>
      <c r="J110" s="4" t="s">
        <v>24</v>
      </c>
      <c r="K110" s="4">
        <v>4</v>
      </c>
      <c r="L110" s="5">
        <v>500</v>
      </c>
      <c r="M110" s="5">
        <f>K110 * L110</f>
        <v>2000</v>
      </c>
      <c r="N110" s="5">
        <f>M110 * $Q$4</f>
        <v>30</v>
      </c>
      <c r="O110" s="5">
        <f>M110* $Q$5</f>
        <v>40</v>
      </c>
    </row>
    <row r="111" spans="1:15">
      <c r="A111" s="2">
        <v>110</v>
      </c>
      <c r="B111" s="4">
        <f t="shared" si="3"/>
        <v>11</v>
      </c>
      <c r="C111" s="4">
        <f t="shared" si="4"/>
        <v>6</v>
      </c>
      <c r="D111" s="4">
        <f t="shared" si="5"/>
        <v>2023</v>
      </c>
      <c r="E111" s="3">
        <v>45088</v>
      </c>
      <c r="F111" s="4" t="s">
        <v>136</v>
      </c>
      <c r="G111" s="4" t="s">
        <v>16</v>
      </c>
      <c r="H111" s="4" t="str" cm="1">
        <f t="array" ref="H111">_xlfn.IFS(I111&lt;30, "Young Adult", I111&gt;=50, "Senior", I111&gt;=30, "Adult")</f>
        <v>Young Adult</v>
      </c>
      <c r="I111" s="4">
        <v>27</v>
      </c>
      <c r="J111" s="4" t="s">
        <v>20</v>
      </c>
      <c r="K111" s="4">
        <v>3</v>
      </c>
      <c r="L111" s="5">
        <v>300</v>
      </c>
      <c r="M111" s="5">
        <f>K111 * L111</f>
        <v>900</v>
      </c>
      <c r="N111" s="5">
        <f>M111 * $Q$4</f>
        <v>13.5</v>
      </c>
      <c r="O111" s="5">
        <f>M111* $Q$5</f>
        <v>18</v>
      </c>
    </row>
    <row r="112" spans="1:15">
      <c r="A112" s="2">
        <v>111</v>
      </c>
      <c r="B112" s="4">
        <f t="shared" si="3"/>
        <v>19</v>
      </c>
      <c r="C112" s="4">
        <f t="shared" si="4"/>
        <v>4</v>
      </c>
      <c r="D112" s="4">
        <f t="shared" si="5"/>
        <v>2023</v>
      </c>
      <c r="E112" s="3">
        <v>45035</v>
      </c>
      <c r="F112" s="4" t="s">
        <v>137</v>
      </c>
      <c r="G112" s="4" t="s">
        <v>19</v>
      </c>
      <c r="H112" s="4" t="str" cm="1">
        <f t="array" ref="H112">_xlfn.IFS(I112&lt;30, "Young Adult", I112&gt;=50, "Senior", I112&gt;=30, "Adult")</f>
        <v>Adult</v>
      </c>
      <c r="I112" s="4">
        <v>34</v>
      </c>
      <c r="J112" s="4" t="s">
        <v>24</v>
      </c>
      <c r="K112" s="4">
        <v>3</v>
      </c>
      <c r="L112" s="5">
        <v>500</v>
      </c>
      <c r="M112" s="5">
        <f>K112 * L112</f>
        <v>1500</v>
      </c>
      <c r="N112" s="5">
        <f>M112 * $Q$4</f>
        <v>22.5</v>
      </c>
      <c r="O112" s="5">
        <f>M112* $Q$5</f>
        <v>30</v>
      </c>
    </row>
    <row r="113" spans="1:15">
      <c r="A113" s="2">
        <v>112</v>
      </c>
      <c r="B113" s="4">
        <f t="shared" si="3"/>
        <v>2</v>
      </c>
      <c r="C113" s="4">
        <f t="shared" si="4"/>
        <v>12</v>
      </c>
      <c r="D113" s="4">
        <f t="shared" si="5"/>
        <v>2023</v>
      </c>
      <c r="E113" s="3">
        <v>45262</v>
      </c>
      <c r="F113" s="4" t="s">
        <v>138</v>
      </c>
      <c r="G113" s="4" t="s">
        <v>16</v>
      </c>
      <c r="H113" s="4" t="str" cm="1">
        <f t="array" ref="H113">_xlfn.IFS(I113&lt;30, "Young Adult", I113&gt;=50, "Senior", I113&gt;=30, "Adult")</f>
        <v>Adult</v>
      </c>
      <c r="I113" s="4">
        <v>37</v>
      </c>
      <c r="J113" s="4" t="s">
        <v>20</v>
      </c>
      <c r="K113" s="4">
        <v>3</v>
      </c>
      <c r="L113" s="5">
        <v>500</v>
      </c>
      <c r="M113" s="5">
        <f>K113 * L113</f>
        <v>1500</v>
      </c>
      <c r="N113" s="5">
        <f>M113 * $Q$4</f>
        <v>22.5</v>
      </c>
      <c r="O113" s="5">
        <f>M113* $Q$5</f>
        <v>30</v>
      </c>
    </row>
    <row r="114" spans="1:15">
      <c r="A114" s="2">
        <v>113</v>
      </c>
      <c r="B114" s="4">
        <f t="shared" si="3"/>
        <v>13</v>
      </c>
      <c r="C114" s="4">
        <f t="shared" si="4"/>
        <v>9</v>
      </c>
      <c r="D114" s="4">
        <f t="shared" si="5"/>
        <v>2023</v>
      </c>
      <c r="E114" s="3">
        <v>45182</v>
      </c>
      <c r="F114" s="4" t="s">
        <v>139</v>
      </c>
      <c r="G114" s="4" t="s">
        <v>19</v>
      </c>
      <c r="H114" s="4" t="str" cm="1">
        <f t="array" ref="H114">_xlfn.IFS(I114&lt;30, "Young Adult", I114&gt;=50, "Senior", I114&gt;=30, "Adult")</f>
        <v>Adult</v>
      </c>
      <c r="I114" s="4">
        <v>41</v>
      </c>
      <c r="J114" s="4" t="s">
        <v>24</v>
      </c>
      <c r="K114" s="4">
        <v>2</v>
      </c>
      <c r="L114" s="5">
        <v>25</v>
      </c>
      <c r="M114" s="5">
        <f>K114 * L114</f>
        <v>50</v>
      </c>
      <c r="N114" s="5">
        <f>M114 * $Q$4</f>
        <v>0.75</v>
      </c>
      <c r="O114" s="5">
        <f>M114* $Q$5</f>
        <v>1</v>
      </c>
    </row>
    <row r="115" spans="1:15">
      <c r="A115" s="2">
        <v>114</v>
      </c>
      <c r="B115" s="4">
        <f t="shared" si="3"/>
        <v>22</v>
      </c>
      <c r="C115" s="4">
        <f t="shared" si="4"/>
        <v>7</v>
      </c>
      <c r="D115" s="4">
        <f t="shared" si="5"/>
        <v>2023</v>
      </c>
      <c r="E115" s="3">
        <v>45129</v>
      </c>
      <c r="F115" s="4" t="s">
        <v>140</v>
      </c>
      <c r="G115" s="4" t="s">
        <v>19</v>
      </c>
      <c r="H115" s="4" t="str" cm="1">
        <f t="array" ref="H115">_xlfn.IFS(I115&lt;30, "Young Adult", I115&gt;=50, "Senior", I115&gt;=30, "Adult")</f>
        <v>Young Adult</v>
      </c>
      <c r="I115" s="4">
        <v>22</v>
      </c>
      <c r="J115" s="4" t="s">
        <v>17</v>
      </c>
      <c r="K115" s="4">
        <v>4</v>
      </c>
      <c r="L115" s="5">
        <v>25</v>
      </c>
      <c r="M115" s="5">
        <f>K115 * L115</f>
        <v>100</v>
      </c>
      <c r="N115" s="5">
        <f>M115 * $Q$4</f>
        <v>1.5</v>
      </c>
      <c r="O115" s="5">
        <f>M115* $Q$5</f>
        <v>2</v>
      </c>
    </row>
    <row r="116" spans="1:15">
      <c r="A116" s="2">
        <v>115</v>
      </c>
      <c r="B116" s="4">
        <f t="shared" si="3"/>
        <v>26</v>
      </c>
      <c r="C116" s="4">
        <f t="shared" si="4"/>
        <v>11</v>
      </c>
      <c r="D116" s="4">
        <f t="shared" si="5"/>
        <v>2023</v>
      </c>
      <c r="E116" s="3">
        <v>45256</v>
      </c>
      <c r="F116" s="4" t="s">
        <v>141</v>
      </c>
      <c r="G116" s="4" t="s">
        <v>16</v>
      </c>
      <c r="H116" s="4" t="str" cm="1">
        <f t="array" ref="H116">_xlfn.IFS(I116&lt;30, "Young Adult", I116&gt;=50, "Senior", I116&gt;=30, "Adult")</f>
        <v>Senior</v>
      </c>
      <c r="I116" s="4">
        <v>51</v>
      </c>
      <c r="J116" s="4" t="s">
        <v>20</v>
      </c>
      <c r="K116" s="4">
        <v>3</v>
      </c>
      <c r="L116" s="5">
        <v>500</v>
      </c>
      <c r="M116" s="5">
        <f>K116 * L116</f>
        <v>1500</v>
      </c>
      <c r="N116" s="5">
        <f>M116 * $Q$4</f>
        <v>22.5</v>
      </c>
      <c r="O116" s="5">
        <f>M116* $Q$5</f>
        <v>30</v>
      </c>
    </row>
    <row r="117" spans="1:15">
      <c r="A117" s="2">
        <v>116</v>
      </c>
      <c r="B117" s="4">
        <f t="shared" si="3"/>
        <v>23</v>
      </c>
      <c r="C117" s="4">
        <f t="shared" si="4"/>
        <v>8</v>
      </c>
      <c r="D117" s="4">
        <f t="shared" si="5"/>
        <v>2023</v>
      </c>
      <c r="E117" s="3">
        <v>45161</v>
      </c>
      <c r="F117" s="4" t="s">
        <v>142</v>
      </c>
      <c r="G117" s="4" t="s">
        <v>19</v>
      </c>
      <c r="H117" s="4" t="str" cm="1">
        <f t="array" ref="H117">_xlfn.IFS(I117&lt;30, "Young Adult", I117&gt;=50, "Senior", I117&gt;=30, "Adult")</f>
        <v>Young Adult</v>
      </c>
      <c r="I117" s="4">
        <v>23</v>
      </c>
      <c r="J117" s="4" t="s">
        <v>20</v>
      </c>
      <c r="K117" s="4">
        <v>1</v>
      </c>
      <c r="L117" s="5">
        <v>30</v>
      </c>
      <c r="M117" s="5">
        <f>K117 * L117</f>
        <v>30</v>
      </c>
      <c r="N117" s="5">
        <f>M117 * $Q$4</f>
        <v>0.44999999999999996</v>
      </c>
      <c r="O117" s="5">
        <f>M117* $Q$5</f>
        <v>0.6</v>
      </c>
    </row>
    <row r="118" spans="1:15">
      <c r="A118" s="2">
        <v>117</v>
      </c>
      <c r="B118" s="4">
        <f t="shared" si="3"/>
        <v>15</v>
      </c>
      <c r="C118" s="4">
        <f t="shared" si="4"/>
        <v>3</v>
      </c>
      <c r="D118" s="4">
        <f t="shared" si="5"/>
        <v>2023</v>
      </c>
      <c r="E118" s="3">
        <v>45000</v>
      </c>
      <c r="F118" s="4" t="s">
        <v>143</v>
      </c>
      <c r="G118" s="4" t="s">
        <v>16</v>
      </c>
      <c r="H118" s="4" t="str" cm="1">
        <f t="array" ref="H118">_xlfn.IFS(I118&lt;30, "Young Adult", I118&gt;=50, "Senior", I118&gt;=30, "Adult")</f>
        <v>Young Adult</v>
      </c>
      <c r="I118" s="4">
        <v>19</v>
      </c>
      <c r="J118" s="4" t="s">
        <v>24</v>
      </c>
      <c r="K118" s="4">
        <v>2</v>
      </c>
      <c r="L118" s="5">
        <v>500</v>
      </c>
      <c r="M118" s="5">
        <f>K118 * L118</f>
        <v>1000</v>
      </c>
      <c r="N118" s="5">
        <f>M118 * $Q$4</f>
        <v>15</v>
      </c>
      <c r="O118" s="5">
        <f>M118* $Q$5</f>
        <v>20</v>
      </c>
    </row>
    <row r="119" spans="1:15">
      <c r="A119" s="2">
        <v>118</v>
      </c>
      <c r="B119" s="4">
        <f t="shared" si="3"/>
        <v>16</v>
      </c>
      <c r="C119" s="4">
        <f t="shared" si="4"/>
        <v>5</v>
      </c>
      <c r="D119" s="4">
        <f t="shared" si="5"/>
        <v>2023</v>
      </c>
      <c r="E119" s="3">
        <v>45062</v>
      </c>
      <c r="F119" s="4" t="s">
        <v>144</v>
      </c>
      <c r="G119" s="4" t="s">
        <v>19</v>
      </c>
      <c r="H119" s="4" t="str" cm="1">
        <f t="array" ref="H119">_xlfn.IFS(I119&lt;30, "Young Adult", I119&gt;=50, "Senior", I119&gt;=30, "Adult")</f>
        <v>Adult</v>
      </c>
      <c r="I119" s="4">
        <v>30</v>
      </c>
      <c r="J119" s="4" t="s">
        <v>24</v>
      </c>
      <c r="K119" s="4">
        <v>4</v>
      </c>
      <c r="L119" s="5">
        <v>500</v>
      </c>
      <c r="M119" s="5">
        <f>K119 * L119</f>
        <v>2000</v>
      </c>
      <c r="N119" s="5">
        <f>M119 * $Q$4</f>
        <v>30</v>
      </c>
      <c r="O119" s="5">
        <f>M119* $Q$5</f>
        <v>40</v>
      </c>
    </row>
    <row r="120" spans="1:15">
      <c r="A120" s="2">
        <v>119</v>
      </c>
      <c r="B120" s="4">
        <f t="shared" si="3"/>
        <v>13</v>
      </c>
      <c r="C120" s="4">
        <f t="shared" si="4"/>
        <v>3</v>
      </c>
      <c r="D120" s="4">
        <f t="shared" si="5"/>
        <v>2023</v>
      </c>
      <c r="E120" s="3">
        <v>44998</v>
      </c>
      <c r="F120" s="4" t="s">
        <v>145</v>
      </c>
      <c r="G120" s="4" t="s">
        <v>19</v>
      </c>
      <c r="H120" s="4" t="str" cm="1">
        <f t="array" ref="H120">_xlfn.IFS(I120&lt;30, "Young Adult", I120&gt;=50, "Senior", I120&gt;=30, "Adult")</f>
        <v>Senior</v>
      </c>
      <c r="I120" s="4">
        <v>60</v>
      </c>
      <c r="J120" s="4" t="s">
        <v>20</v>
      </c>
      <c r="K120" s="4">
        <v>3</v>
      </c>
      <c r="L120" s="5">
        <v>50</v>
      </c>
      <c r="M120" s="5">
        <f>K120 * L120</f>
        <v>150</v>
      </c>
      <c r="N120" s="5">
        <f>M120 * $Q$4</f>
        <v>2.25</v>
      </c>
      <c r="O120" s="5">
        <f>M120* $Q$5</f>
        <v>3</v>
      </c>
    </row>
    <row r="121" spans="1:15">
      <c r="A121" s="2">
        <v>120</v>
      </c>
      <c r="B121" s="4">
        <f t="shared" si="3"/>
        <v>7</v>
      </c>
      <c r="C121" s="4">
        <f t="shared" si="4"/>
        <v>5</v>
      </c>
      <c r="D121" s="4">
        <f t="shared" si="5"/>
        <v>2023</v>
      </c>
      <c r="E121" s="3">
        <v>45053</v>
      </c>
      <c r="F121" s="4" t="s">
        <v>146</v>
      </c>
      <c r="G121" s="4" t="s">
        <v>16</v>
      </c>
      <c r="H121" s="4" t="str" cm="1">
        <f t="array" ref="H121">_xlfn.IFS(I121&lt;30, "Young Adult", I121&gt;=50, "Senior", I121&gt;=30, "Adult")</f>
        <v>Senior</v>
      </c>
      <c r="I121" s="4">
        <v>60</v>
      </c>
      <c r="J121" s="4" t="s">
        <v>17</v>
      </c>
      <c r="K121" s="4">
        <v>1</v>
      </c>
      <c r="L121" s="5">
        <v>50</v>
      </c>
      <c r="M121" s="5">
        <f>K121 * L121</f>
        <v>50</v>
      </c>
      <c r="N121" s="5">
        <f>M121 * $Q$4</f>
        <v>0.75</v>
      </c>
      <c r="O121" s="5">
        <f>M121* $Q$5</f>
        <v>1</v>
      </c>
    </row>
    <row r="122" spans="1:15">
      <c r="A122" s="2">
        <v>121</v>
      </c>
      <c r="B122" s="4">
        <f t="shared" si="3"/>
        <v>15</v>
      </c>
      <c r="C122" s="4">
        <f t="shared" si="4"/>
        <v>10</v>
      </c>
      <c r="D122" s="4">
        <f t="shared" si="5"/>
        <v>2023</v>
      </c>
      <c r="E122" s="3">
        <v>45214</v>
      </c>
      <c r="F122" s="4" t="s">
        <v>147</v>
      </c>
      <c r="G122" s="4" t="s">
        <v>19</v>
      </c>
      <c r="H122" s="4" t="str" cm="1">
        <f t="array" ref="H122">_xlfn.IFS(I122&lt;30, "Young Adult", I122&gt;=50, "Senior", I122&gt;=30, "Adult")</f>
        <v>Young Adult</v>
      </c>
      <c r="I122" s="4">
        <v>28</v>
      </c>
      <c r="J122" s="4" t="s">
        <v>24</v>
      </c>
      <c r="K122" s="4">
        <v>4</v>
      </c>
      <c r="L122" s="5">
        <v>50</v>
      </c>
      <c r="M122" s="5">
        <f>K122 * L122</f>
        <v>200</v>
      </c>
      <c r="N122" s="5">
        <f>M122 * $Q$4</f>
        <v>3</v>
      </c>
      <c r="O122" s="5">
        <f>M122* $Q$5</f>
        <v>4</v>
      </c>
    </row>
    <row r="123" spans="1:15">
      <c r="A123" s="2">
        <v>122</v>
      </c>
      <c r="B123" s="4">
        <f t="shared" si="3"/>
        <v>3</v>
      </c>
      <c r="C123" s="4">
        <f t="shared" si="4"/>
        <v>10</v>
      </c>
      <c r="D123" s="4">
        <f t="shared" si="5"/>
        <v>2023</v>
      </c>
      <c r="E123" s="3">
        <v>45202</v>
      </c>
      <c r="F123" s="4" t="s">
        <v>148</v>
      </c>
      <c r="G123" s="4" t="s">
        <v>16</v>
      </c>
      <c r="H123" s="4" t="str" cm="1">
        <f t="array" ref="H123">_xlfn.IFS(I123&lt;30, "Young Adult", I123&gt;=50, "Senior", I123&gt;=30, "Adult")</f>
        <v>Senior</v>
      </c>
      <c r="I123" s="4">
        <v>64</v>
      </c>
      <c r="J123" s="4" t="s">
        <v>24</v>
      </c>
      <c r="K123" s="4">
        <v>4</v>
      </c>
      <c r="L123" s="5">
        <v>30</v>
      </c>
      <c r="M123" s="5">
        <f>K123 * L123</f>
        <v>120</v>
      </c>
      <c r="N123" s="5">
        <f>M123 * $Q$4</f>
        <v>1.7999999999999998</v>
      </c>
      <c r="O123" s="5">
        <f>M123* $Q$5</f>
        <v>2.4</v>
      </c>
    </row>
    <row r="124" spans="1:15">
      <c r="A124" s="2">
        <v>123</v>
      </c>
      <c r="B124" s="4">
        <f t="shared" si="3"/>
        <v>15</v>
      </c>
      <c r="C124" s="4">
        <f t="shared" si="4"/>
        <v>5</v>
      </c>
      <c r="D124" s="4">
        <f t="shared" si="5"/>
        <v>2023</v>
      </c>
      <c r="E124" s="3">
        <v>45061</v>
      </c>
      <c r="F124" s="4" t="s">
        <v>149</v>
      </c>
      <c r="G124" s="4" t="s">
        <v>19</v>
      </c>
      <c r="H124" s="4" t="str" cm="1">
        <f t="array" ref="H124">_xlfn.IFS(I124&lt;30, "Young Adult", I124&gt;=50, "Senior", I124&gt;=30, "Adult")</f>
        <v>Adult</v>
      </c>
      <c r="I124" s="4">
        <v>40</v>
      </c>
      <c r="J124" s="4" t="s">
        <v>24</v>
      </c>
      <c r="K124" s="4">
        <v>2</v>
      </c>
      <c r="L124" s="5">
        <v>30</v>
      </c>
      <c r="M124" s="5">
        <f>K124 * L124</f>
        <v>60</v>
      </c>
      <c r="N124" s="5">
        <f>M124 * $Q$4</f>
        <v>0.89999999999999991</v>
      </c>
      <c r="O124" s="5">
        <f>M124* $Q$5</f>
        <v>1.2</v>
      </c>
    </row>
    <row r="125" spans="1:15">
      <c r="A125" s="2">
        <v>124</v>
      </c>
      <c r="B125" s="4">
        <f t="shared" si="3"/>
        <v>27</v>
      </c>
      <c r="C125" s="4">
        <f t="shared" si="4"/>
        <v>10</v>
      </c>
      <c r="D125" s="4">
        <f t="shared" si="5"/>
        <v>2023</v>
      </c>
      <c r="E125" s="3">
        <v>45226</v>
      </c>
      <c r="F125" s="4" t="s">
        <v>150</v>
      </c>
      <c r="G125" s="4" t="s">
        <v>16</v>
      </c>
      <c r="H125" s="4" t="str" cm="1">
        <f t="array" ref="H125">_xlfn.IFS(I125&lt;30, "Young Adult", I125&gt;=50, "Senior", I125&gt;=30, "Adult")</f>
        <v>Adult</v>
      </c>
      <c r="I125" s="4">
        <v>33</v>
      </c>
      <c r="J125" s="4" t="s">
        <v>20</v>
      </c>
      <c r="K125" s="4">
        <v>4</v>
      </c>
      <c r="L125" s="5">
        <v>500</v>
      </c>
      <c r="M125" s="5">
        <f>K125 * L125</f>
        <v>2000</v>
      </c>
      <c r="N125" s="5">
        <f>M125 * $Q$4</f>
        <v>30</v>
      </c>
      <c r="O125" s="5">
        <f>M125* $Q$5</f>
        <v>40</v>
      </c>
    </row>
    <row r="126" spans="1:15">
      <c r="A126" s="2">
        <v>125</v>
      </c>
      <c r="B126" s="4">
        <f t="shared" si="3"/>
        <v>8</v>
      </c>
      <c r="C126" s="4">
        <f t="shared" si="4"/>
        <v>8</v>
      </c>
      <c r="D126" s="4">
        <f t="shared" si="5"/>
        <v>2023</v>
      </c>
      <c r="E126" s="3">
        <v>45146</v>
      </c>
      <c r="F126" s="4" t="s">
        <v>151</v>
      </c>
      <c r="G126" s="4" t="s">
        <v>16</v>
      </c>
      <c r="H126" s="4" t="str" cm="1">
        <f t="array" ref="H126">_xlfn.IFS(I126&lt;30, "Young Adult", I126&gt;=50, "Senior", I126&gt;=30, "Adult")</f>
        <v>Adult</v>
      </c>
      <c r="I126" s="4">
        <v>48</v>
      </c>
      <c r="J126" s="4" t="s">
        <v>20</v>
      </c>
      <c r="K126" s="4">
        <v>2</v>
      </c>
      <c r="L126" s="5">
        <v>50</v>
      </c>
      <c r="M126" s="5">
        <f>K126 * L126</f>
        <v>100</v>
      </c>
      <c r="N126" s="5">
        <f>M126 * $Q$4</f>
        <v>1.5</v>
      </c>
      <c r="O126" s="5">
        <f>M126* $Q$5</f>
        <v>2</v>
      </c>
    </row>
    <row r="127" spans="1:15">
      <c r="A127" s="2">
        <v>126</v>
      </c>
      <c r="B127" s="4">
        <f t="shared" si="3"/>
        <v>26</v>
      </c>
      <c r="C127" s="4">
        <f t="shared" si="4"/>
        <v>10</v>
      </c>
      <c r="D127" s="4">
        <f t="shared" si="5"/>
        <v>2023</v>
      </c>
      <c r="E127" s="3">
        <v>45225</v>
      </c>
      <c r="F127" s="4" t="s">
        <v>152</v>
      </c>
      <c r="G127" s="4" t="s">
        <v>19</v>
      </c>
      <c r="H127" s="4" t="str" cm="1">
        <f t="array" ref="H127">_xlfn.IFS(I127&lt;30, "Young Adult", I127&gt;=50, "Senior", I127&gt;=30, "Adult")</f>
        <v>Young Adult</v>
      </c>
      <c r="I127" s="4">
        <v>28</v>
      </c>
      <c r="J127" s="4" t="s">
        <v>20</v>
      </c>
      <c r="K127" s="4">
        <v>3</v>
      </c>
      <c r="L127" s="5">
        <v>30</v>
      </c>
      <c r="M127" s="5">
        <f>K127 * L127</f>
        <v>90</v>
      </c>
      <c r="N127" s="5">
        <f>M127 * $Q$4</f>
        <v>1.3499999999999999</v>
      </c>
      <c r="O127" s="5">
        <f>M127* $Q$5</f>
        <v>1.8</v>
      </c>
    </row>
    <row r="128" spans="1:15">
      <c r="A128" s="2">
        <v>127</v>
      </c>
      <c r="B128" s="4">
        <f t="shared" si="3"/>
        <v>24</v>
      </c>
      <c r="C128" s="4">
        <f t="shared" si="4"/>
        <v>7</v>
      </c>
      <c r="D128" s="4">
        <f t="shared" si="5"/>
        <v>2023</v>
      </c>
      <c r="E128" s="3">
        <v>45131</v>
      </c>
      <c r="F128" s="4" t="s">
        <v>153</v>
      </c>
      <c r="G128" s="4" t="s">
        <v>19</v>
      </c>
      <c r="H128" s="4" t="str" cm="1">
        <f t="array" ref="H128">_xlfn.IFS(I128&lt;30, "Young Adult", I128&gt;=50, "Senior", I128&gt;=30, "Adult")</f>
        <v>Adult</v>
      </c>
      <c r="I128" s="4">
        <v>33</v>
      </c>
      <c r="J128" s="4" t="s">
        <v>20</v>
      </c>
      <c r="K128" s="4">
        <v>2</v>
      </c>
      <c r="L128" s="5">
        <v>25</v>
      </c>
      <c r="M128" s="5">
        <f>K128 * L128</f>
        <v>50</v>
      </c>
      <c r="N128" s="5">
        <f>M128 * $Q$4</f>
        <v>0.75</v>
      </c>
      <c r="O128" s="5">
        <f>M128* $Q$5</f>
        <v>1</v>
      </c>
    </row>
    <row r="129" spans="1:15">
      <c r="A129" s="2">
        <v>128</v>
      </c>
      <c r="B129" s="4">
        <f t="shared" si="3"/>
        <v>5</v>
      </c>
      <c r="C129" s="4">
        <f t="shared" si="4"/>
        <v>7</v>
      </c>
      <c r="D129" s="4">
        <f t="shared" si="5"/>
        <v>2023</v>
      </c>
      <c r="E129" s="3">
        <v>45112</v>
      </c>
      <c r="F129" s="4" t="s">
        <v>154</v>
      </c>
      <c r="G129" s="4" t="s">
        <v>16</v>
      </c>
      <c r="H129" s="4" t="str" cm="1">
        <f t="array" ref="H129">_xlfn.IFS(I129&lt;30, "Young Adult", I129&gt;=50, "Senior", I129&gt;=30, "Adult")</f>
        <v>Young Adult</v>
      </c>
      <c r="I129" s="4">
        <v>25</v>
      </c>
      <c r="J129" s="4" t="s">
        <v>17</v>
      </c>
      <c r="K129" s="4">
        <v>1</v>
      </c>
      <c r="L129" s="5">
        <v>500</v>
      </c>
      <c r="M129" s="5">
        <f>K129 * L129</f>
        <v>500</v>
      </c>
      <c r="N129" s="5">
        <f>M129 * $Q$4</f>
        <v>7.5</v>
      </c>
      <c r="O129" s="5">
        <f>M129* $Q$5</f>
        <v>10</v>
      </c>
    </row>
    <row r="130" spans="1:15">
      <c r="A130" s="2">
        <v>129</v>
      </c>
      <c r="B130" s="4">
        <f t="shared" si="3"/>
        <v>23</v>
      </c>
      <c r="C130" s="4">
        <f t="shared" si="4"/>
        <v>4</v>
      </c>
      <c r="D130" s="4">
        <f t="shared" si="5"/>
        <v>2023</v>
      </c>
      <c r="E130" s="3">
        <v>45039</v>
      </c>
      <c r="F130" s="4" t="s">
        <v>155</v>
      </c>
      <c r="G130" s="4" t="s">
        <v>19</v>
      </c>
      <c r="H130" s="4" t="str" cm="1">
        <f t="array" ref="H130">_xlfn.IFS(I130&lt;30, "Young Adult", I130&gt;=50, "Senior", I130&gt;=30, "Adult")</f>
        <v>Young Adult</v>
      </c>
      <c r="I130" s="4">
        <v>21</v>
      </c>
      <c r="J130" s="4" t="s">
        <v>17</v>
      </c>
      <c r="K130" s="4">
        <v>2</v>
      </c>
      <c r="L130" s="5">
        <v>300</v>
      </c>
      <c r="M130" s="5">
        <f>K130 * L130</f>
        <v>600</v>
      </c>
      <c r="N130" s="5">
        <f>M130 * $Q$4</f>
        <v>9</v>
      </c>
      <c r="O130" s="5">
        <f>M130* $Q$5</f>
        <v>12</v>
      </c>
    </row>
    <row r="131" spans="1:15">
      <c r="A131" s="2">
        <v>130</v>
      </c>
      <c r="B131" s="4">
        <f t="shared" ref="B131:B194" si="6">DAY(E131)</f>
        <v>12</v>
      </c>
      <c r="C131" s="4">
        <f t="shared" ref="C131:C194" si="7">MONTH(E131)</f>
        <v>3</v>
      </c>
      <c r="D131" s="4">
        <f t="shared" ref="D131:D194" si="8">YEAR(E131)</f>
        <v>2023</v>
      </c>
      <c r="E131" s="3">
        <v>44997</v>
      </c>
      <c r="F131" s="4" t="s">
        <v>156</v>
      </c>
      <c r="G131" s="4" t="s">
        <v>19</v>
      </c>
      <c r="H131" s="4" t="str" cm="1">
        <f t="array" ref="H131">_xlfn.IFS(I131&lt;30, "Young Adult", I131&gt;=50, "Senior", I131&gt;=30, "Adult")</f>
        <v>Senior</v>
      </c>
      <c r="I131" s="4">
        <v>57</v>
      </c>
      <c r="J131" s="4" t="s">
        <v>20</v>
      </c>
      <c r="K131" s="4">
        <v>1</v>
      </c>
      <c r="L131" s="5">
        <v>500</v>
      </c>
      <c r="M131" s="5">
        <f>K131 * L131</f>
        <v>500</v>
      </c>
      <c r="N131" s="5">
        <f>M131 * $Q$4</f>
        <v>7.5</v>
      </c>
      <c r="O131" s="5">
        <f>M131* $Q$5</f>
        <v>10</v>
      </c>
    </row>
    <row r="132" spans="1:15">
      <c r="A132" s="2">
        <v>131</v>
      </c>
      <c r="B132" s="4">
        <f t="shared" si="6"/>
        <v>18</v>
      </c>
      <c r="C132" s="4">
        <f t="shared" si="7"/>
        <v>9</v>
      </c>
      <c r="D132" s="4">
        <f t="shared" si="8"/>
        <v>2023</v>
      </c>
      <c r="E132" s="3">
        <v>45187</v>
      </c>
      <c r="F132" s="4" t="s">
        <v>157</v>
      </c>
      <c r="G132" s="4" t="s">
        <v>19</v>
      </c>
      <c r="H132" s="4" t="str" cm="1">
        <f t="array" ref="H132">_xlfn.IFS(I132&lt;30, "Young Adult", I132&gt;=50, "Senior", I132&gt;=30, "Adult")</f>
        <v>Young Adult</v>
      </c>
      <c r="I132" s="4">
        <v>21</v>
      </c>
      <c r="J132" s="4" t="s">
        <v>17</v>
      </c>
      <c r="K132" s="4">
        <v>2</v>
      </c>
      <c r="L132" s="5">
        <v>300</v>
      </c>
      <c r="M132" s="5">
        <f>K132 * L132</f>
        <v>600</v>
      </c>
      <c r="N132" s="5">
        <f>M132 * $Q$4</f>
        <v>9</v>
      </c>
      <c r="O132" s="5">
        <f>M132* $Q$5</f>
        <v>12</v>
      </c>
    </row>
    <row r="133" spans="1:15">
      <c r="A133" s="2">
        <v>132</v>
      </c>
      <c r="B133" s="4">
        <f t="shared" si="6"/>
        <v>10</v>
      </c>
      <c r="C133" s="4">
        <f t="shared" si="7"/>
        <v>9</v>
      </c>
      <c r="D133" s="4">
        <f t="shared" si="8"/>
        <v>2023</v>
      </c>
      <c r="E133" s="3">
        <v>45179</v>
      </c>
      <c r="F133" s="4" t="s">
        <v>158</v>
      </c>
      <c r="G133" s="4" t="s">
        <v>16</v>
      </c>
      <c r="H133" s="4" t="str" cm="1">
        <f t="array" ref="H133">_xlfn.IFS(I133&lt;30, "Young Adult", I133&gt;=50, "Senior", I133&gt;=30, "Adult")</f>
        <v>Adult</v>
      </c>
      <c r="I133" s="4">
        <v>42</v>
      </c>
      <c r="J133" s="4" t="s">
        <v>24</v>
      </c>
      <c r="K133" s="4">
        <v>4</v>
      </c>
      <c r="L133" s="5">
        <v>50</v>
      </c>
      <c r="M133" s="5">
        <f>K133 * L133</f>
        <v>200</v>
      </c>
      <c r="N133" s="5">
        <f>M133 * $Q$4</f>
        <v>3</v>
      </c>
      <c r="O133" s="5">
        <f>M133* $Q$5</f>
        <v>4</v>
      </c>
    </row>
    <row r="134" spans="1:15">
      <c r="A134" s="2">
        <v>133</v>
      </c>
      <c r="B134" s="4">
        <f t="shared" si="6"/>
        <v>16</v>
      </c>
      <c r="C134" s="4">
        <f t="shared" si="7"/>
        <v>2</v>
      </c>
      <c r="D134" s="4">
        <f t="shared" si="8"/>
        <v>2023</v>
      </c>
      <c r="E134" s="3">
        <v>44973</v>
      </c>
      <c r="F134" s="4" t="s">
        <v>159</v>
      </c>
      <c r="G134" s="4" t="s">
        <v>16</v>
      </c>
      <c r="H134" s="4" t="str" cm="1">
        <f t="array" ref="H134">_xlfn.IFS(I134&lt;30, "Young Adult", I134&gt;=50, "Senior", I134&gt;=30, "Adult")</f>
        <v>Young Adult</v>
      </c>
      <c r="I134" s="4">
        <v>20</v>
      </c>
      <c r="J134" s="4" t="s">
        <v>24</v>
      </c>
      <c r="K134" s="4">
        <v>3</v>
      </c>
      <c r="L134" s="5">
        <v>300</v>
      </c>
      <c r="M134" s="5">
        <f>K134 * L134</f>
        <v>900</v>
      </c>
      <c r="N134" s="5">
        <f>M134 * $Q$4</f>
        <v>13.5</v>
      </c>
      <c r="O134" s="5">
        <f>M134* $Q$5</f>
        <v>18</v>
      </c>
    </row>
    <row r="135" spans="1:15">
      <c r="A135" s="2">
        <v>134</v>
      </c>
      <c r="B135" s="4">
        <f t="shared" si="6"/>
        <v>25</v>
      </c>
      <c r="C135" s="4">
        <f t="shared" si="7"/>
        <v>1</v>
      </c>
      <c r="D135" s="4">
        <f t="shared" si="8"/>
        <v>2023</v>
      </c>
      <c r="E135" s="3">
        <v>44951</v>
      </c>
      <c r="F135" s="4" t="s">
        <v>160</v>
      </c>
      <c r="G135" s="4" t="s">
        <v>16</v>
      </c>
      <c r="H135" s="4" t="str" cm="1">
        <f t="array" ref="H135">_xlfn.IFS(I135&lt;30, "Young Adult", I135&gt;=50, "Senior", I135&gt;=30, "Adult")</f>
        <v>Adult</v>
      </c>
      <c r="I135" s="4">
        <v>49</v>
      </c>
      <c r="J135" s="4" t="s">
        <v>24</v>
      </c>
      <c r="K135" s="4">
        <v>1</v>
      </c>
      <c r="L135" s="5">
        <v>50</v>
      </c>
      <c r="M135" s="5">
        <f>K135 * L135</f>
        <v>50</v>
      </c>
      <c r="N135" s="5">
        <f>M135 * $Q$4</f>
        <v>0.75</v>
      </c>
      <c r="O135" s="5">
        <f>M135* $Q$5</f>
        <v>1</v>
      </c>
    </row>
    <row r="136" spans="1:15">
      <c r="A136" s="2">
        <v>135</v>
      </c>
      <c r="B136" s="4">
        <f t="shared" si="6"/>
        <v>26</v>
      </c>
      <c r="C136" s="4">
        <f t="shared" si="7"/>
        <v>2</v>
      </c>
      <c r="D136" s="4">
        <f t="shared" si="8"/>
        <v>2023</v>
      </c>
      <c r="E136" s="3">
        <v>44983</v>
      </c>
      <c r="F136" s="4" t="s">
        <v>161</v>
      </c>
      <c r="G136" s="4" t="s">
        <v>16</v>
      </c>
      <c r="H136" s="4" t="str" cm="1">
        <f t="array" ref="H136">_xlfn.IFS(I136&lt;30, "Young Adult", I136&gt;=50, "Senior", I136&gt;=30, "Adult")</f>
        <v>Young Adult</v>
      </c>
      <c r="I136" s="4">
        <v>20</v>
      </c>
      <c r="J136" s="4" t="s">
        <v>20</v>
      </c>
      <c r="K136" s="4">
        <v>2</v>
      </c>
      <c r="L136" s="5">
        <v>25</v>
      </c>
      <c r="M136" s="5">
        <f>K136 * L136</f>
        <v>50</v>
      </c>
      <c r="N136" s="5">
        <f>M136 * $Q$4</f>
        <v>0.75</v>
      </c>
      <c r="O136" s="5">
        <f>M136* $Q$5</f>
        <v>1</v>
      </c>
    </row>
    <row r="137" spans="1:15">
      <c r="A137" s="2">
        <v>136</v>
      </c>
      <c r="B137" s="4">
        <f t="shared" si="6"/>
        <v>20</v>
      </c>
      <c r="C137" s="4">
        <f t="shared" si="7"/>
        <v>3</v>
      </c>
      <c r="D137" s="4">
        <f t="shared" si="8"/>
        <v>2023</v>
      </c>
      <c r="E137" s="3">
        <v>45005</v>
      </c>
      <c r="F137" s="4" t="s">
        <v>162</v>
      </c>
      <c r="G137" s="4" t="s">
        <v>16</v>
      </c>
      <c r="H137" s="4" t="str" cm="1">
        <f t="array" ref="H137">_xlfn.IFS(I137&lt;30, "Young Adult", I137&gt;=50, "Senior", I137&gt;=30, "Adult")</f>
        <v>Adult</v>
      </c>
      <c r="I137" s="4">
        <v>44</v>
      </c>
      <c r="J137" s="4" t="s">
        <v>24</v>
      </c>
      <c r="K137" s="4">
        <v>2</v>
      </c>
      <c r="L137" s="5">
        <v>300</v>
      </c>
      <c r="M137" s="5">
        <f>K137 * L137</f>
        <v>600</v>
      </c>
      <c r="N137" s="5">
        <f>M137 * $Q$4</f>
        <v>9</v>
      </c>
      <c r="O137" s="5">
        <f>M137* $Q$5</f>
        <v>12</v>
      </c>
    </row>
    <row r="138" spans="1:15">
      <c r="A138" s="2">
        <v>137</v>
      </c>
      <c r="B138" s="4">
        <f t="shared" si="6"/>
        <v>18</v>
      </c>
      <c r="C138" s="4">
        <f t="shared" si="7"/>
        <v>11</v>
      </c>
      <c r="D138" s="4">
        <f t="shared" si="8"/>
        <v>2023</v>
      </c>
      <c r="E138" s="3">
        <v>45248</v>
      </c>
      <c r="F138" s="4" t="s">
        <v>163</v>
      </c>
      <c r="G138" s="4" t="s">
        <v>16</v>
      </c>
      <c r="H138" s="4" t="str" cm="1">
        <f t="array" ref="H138">_xlfn.IFS(I138&lt;30, "Young Adult", I138&gt;=50, "Senior", I138&gt;=30, "Adult")</f>
        <v>Adult</v>
      </c>
      <c r="I138" s="4">
        <v>46</v>
      </c>
      <c r="J138" s="4" t="s">
        <v>17</v>
      </c>
      <c r="K138" s="4">
        <v>2</v>
      </c>
      <c r="L138" s="5">
        <v>500</v>
      </c>
      <c r="M138" s="5">
        <f>K138 * L138</f>
        <v>1000</v>
      </c>
      <c r="N138" s="5">
        <f>M138 * $Q$4</f>
        <v>15</v>
      </c>
      <c r="O138" s="5">
        <f>M138* $Q$5</f>
        <v>20</v>
      </c>
    </row>
    <row r="139" spans="1:15">
      <c r="A139" s="2">
        <v>138</v>
      </c>
      <c r="B139" s="4">
        <f t="shared" si="6"/>
        <v>23</v>
      </c>
      <c r="C139" s="4">
        <f t="shared" si="7"/>
        <v>3</v>
      </c>
      <c r="D139" s="4">
        <f t="shared" si="8"/>
        <v>2023</v>
      </c>
      <c r="E139" s="3">
        <v>45008</v>
      </c>
      <c r="F139" s="4" t="s">
        <v>164</v>
      </c>
      <c r="G139" s="4" t="s">
        <v>16</v>
      </c>
      <c r="H139" s="4" t="str" cm="1">
        <f t="array" ref="H139">_xlfn.IFS(I139&lt;30, "Young Adult", I139&gt;=50, "Senior", I139&gt;=30, "Adult")</f>
        <v>Adult</v>
      </c>
      <c r="I139" s="4">
        <v>49</v>
      </c>
      <c r="J139" s="4" t="s">
        <v>20</v>
      </c>
      <c r="K139" s="4">
        <v>4</v>
      </c>
      <c r="L139" s="5">
        <v>50</v>
      </c>
      <c r="M139" s="5">
        <f>K139 * L139</f>
        <v>200</v>
      </c>
      <c r="N139" s="5">
        <f>M139 * $Q$4</f>
        <v>3</v>
      </c>
      <c r="O139" s="5">
        <f>M139* $Q$5</f>
        <v>4</v>
      </c>
    </row>
    <row r="140" spans="1:15">
      <c r="A140" s="2">
        <v>139</v>
      </c>
      <c r="B140" s="4">
        <f t="shared" si="6"/>
        <v>15</v>
      </c>
      <c r="C140" s="4">
        <f t="shared" si="7"/>
        <v>12</v>
      </c>
      <c r="D140" s="4">
        <f t="shared" si="8"/>
        <v>2023</v>
      </c>
      <c r="E140" s="3">
        <v>45275</v>
      </c>
      <c r="F140" s="4" t="s">
        <v>165</v>
      </c>
      <c r="G140" s="4" t="s">
        <v>16</v>
      </c>
      <c r="H140" s="4" t="str" cm="1">
        <f t="array" ref="H140">_xlfn.IFS(I140&lt;30, "Young Adult", I140&gt;=50, "Senior", I140&gt;=30, "Adult")</f>
        <v>Adult</v>
      </c>
      <c r="I140" s="4">
        <v>36</v>
      </c>
      <c r="J140" s="4" t="s">
        <v>17</v>
      </c>
      <c r="K140" s="4">
        <v>4</v>
      </c>
      <c r="L140" s="5">
        <v>500</v>
      </c>
      <c r="M140" s="5">
        <f>K140 * L140</f>
        <v>2000</v>
      </c>
      <c r="N140" s="5">
        <f>M140 * $Q$4</f>
        <v>30</v>
      </c>
      <c r="O140" s="5">
        <f>M140* $Q$5</f>
        <v>40</v>
      </c>
    </row>
    <row r="141" spans="1:15">
      <c r="A141" s="2">
        <v>140</v>
      </c>
      <c r="B141" s="4">
        <f t="shared" si="6"/>
        <v>5</v>
      </c>
      <c r="C141" s="4">
        <f t="shared" si="7"/>
        <v>8</v>
      </c>
      <c r="D141" s="4">
        <f t="shared" si="8"/>
        <v>2023</v>
      </c>
      <c r="E141" s="3">
        <v>45143</v>
      </c>
      <c r="F141" s="4" t="s">
        <v>166</v>
      </c>
      <c r="G141" s="4" t="s">
        <v>16</v>
      </c>
      <c r="H141" s="4" t="str" cm="1">
        <f t="array" ref="H141">_xlfn.IFS(I141&lt;30, "Young Adult", I141&gt;=50, "Senior", I141&gt;=30, "Adult")</f>
        <v>Adult</v>
      </c>
      <c r="I141" s="4">
        <v>38</v>
      </c>
      <c r="J141" s="4" t="s">
        <v>24</v>
      </c>
      <c r="K141" s="4">
        <v>1</v>
      </c>
      <c r="L141" s="5">
        <v>30</v>
      </c>
      <c r="M141" s="5">
        <f>K141 * L141</f>
        <v>30</v>
      </c>
      <c r="N141" s="5">
        <f>M141 * $Q$4</f>
        <v>0.44999999999999996</v>
      </c>
      <c r="O141" s="5">
        <f>M141* $Q$5</f>
        <v>0.6</v>
      </c>
    </row>
    <row r="142" spans="1:15">
      <c r="A142" s="2">
        <v>141</v>
      </c>
      <c r="B142" s="4">
        <f t="shared" si="6"/>
        <v>2</v>
      </c>
      <c r="C142" s="4">
        <f t="shared" si="7"/>
        <v>11</v>
      </c>
      <c r="D142" s="4">
        <f t="shared" si="8"/>
        <v>2023</v>
      </c>
      <c r="E142" s="3">
        <v>45232</v>
      </c>
      <c r="F142" s="4" t="s">
        <v>167</v>
      </c>
      <c r="G142" s="4" t="s">
        <v>19</v>
      </c>
      <c r="H142" s="4" t="str" cm="1">
        <f t="array" ref="H142">_xlfn.IFS(I142&lt;30, "Young Adult", I142&gt;=50, "Senior", I142&gt;=30, "Adult")</f>
        <v>Young Adult</v>
      </c>
      <c r="I142" s="4">
        <v>22</v>
      </c>
      <c r="J142" s="4" t="s">
        <v>24</v>
      </c>
      <c r="K142" s="4">
        <v>1</v>
      </c>
      <c r="L142" s="5">
        <v>50</v>
      </c>
      <c r="M142" s="5">
        <f>K142 * L142</f>
        <v>50</v>
      </c>
      <c r="N142" s="5">
        <f>M142 * $Q$4</f>
        <v>0.75</v>
      </c>
      <c r="O142" s="5">
        <f>M142* $Q$5</f>
        <v>1</v>
      </c>
    </row>
    <row r="143" spans="1:15">
      <c r="A143" s="2">
        <v>142</v>
      </c>
      <c r="B143" s="4">
        <f t="shared" si="6"/>
        <v>2</v>
      </c>
      <c r="C143" s="4">
        <f t="shared" si="7"/>
        <v>2</v>
      </c>
      <c r="D143" s="4">
        <f t="shared" si="8"/>
        <v>2023</v>
      </c>
      <c r="E143" s="3">
        <v>44959</v>
      </c>
      <c r="F143" s="4" t="s">
        <v>168</v>
      </c>
      <c r="G143" s="4" t="s">
        <v>16</v>
      </c>
      <c r="H143" s="4" t="str" cm="1">
        <f t="array" ref="H143">_xlfn.IFS(I143&lt;30, "Young Adult", I143&gt;=50, "Senior", I143&gt;=30, "Adult")</f>
        <v>Adult</v>
      </c>
      <c r="I143" s="4">
        <v>35</v>
      </c>
      <c r="J143" s="4" t="s">
        <v>24</v>
      </c>
      <c r="K143" s="4">
        <v>4</v>
      </c>
      <c r="L143" s="5">
        <v>300</v>
      </c>
      <c r="M143" s="5">
        <f>K143 * L143</f>
        <v>1200</v>
      </c>
      <c r="N143" s="5">
        <f>M143 * $Q$4</f>
        <v>18</v>
      </c>
      <c r="O143" s="5">
        <f>M143* $Q$5</f>
        <v>24</v>
      </c>
    </row>
    <row r="144" spans="1:15">
      <c r="A144" s="2">
        <v>143</v>
      </c>
      <c r="B144" s="4">
        <f t="shared" si="6"/>
        <v>17</v>
      </c>
      <c r="C144" s="4">
        <f t="shared" si="7"/>
        <v>7</v>
      </c>
      <c r="D144" s="4">
        <f t="shared" si="8"/>
        <v>2023</v>
      </c>
      <c r="E144" s="3">
        <v>45124</v>
      </c>
      <c r="F144" s="4" t="s">
        <v>169</v>
      </c>
      <c r="G144" s="4" t="s">
        <v>19</v>
      </c>
      <c r="H144" s="4" t="str" cm="1">
        <f t="array" ref="H144">_xlfn.IFS(I144&lt;30, "Young Adult", I144&gt;=50, "Senior", I144&gt;=30, "Adult")</f>
        <v>Adult</v>
      </c>
      <c r="I144" s="4">
        <v>45</v>
      </c>
      <c r="J144" s="4" t="s">
        <v>20</v>
      </c>
      <c r="K144" s="4">
        <v>1</v>
      </c>
      <c r="L144" s="5">
        <v>50</v>
      </c>
      <c r="M144" s="5">
        <f>K144 * L144</f>
        <v>50</v>
      </c>
      <c r="N144" s="5">
        <f>M144 * $Q$4</f>
        <v>0.75</v>
      </c>
      <c r="O144" s="5">
        <f>M144* $Q$5</f>
        <v>1</v>
      </c>
    </row>
    <row r="145" spans="1:15">
      <c r="A145" s="2">
        <v>144</v>
      </c>
      <c r="B145" s="4">
        <f t="shared" si="6"/>
        <v>15</v>
      </c>
      <c r="C145" s="4">
        <f t="shared" si="7"/>
        <v>7</v>
      </c>
      <c r="D145" s="4">
        <f t="shared" si="8"/>
        <v>2023</v>
      </c>
      <c r="E145" s="3">
        <v>45122</v>
      </c>
      <c r="F145" s="4" t="s">
        <v>170</v>
      </c>
      <c r="G145" s="4" t="s">
        <v>19</v>
      </c>
      <c r="H145" s="4" t="str" cm="1">
        <f t="array" ref="H145">_xlfn.IFS(I145&lt;30, "Young Adult", I145&gt;=50, "Senior", I145&gt;=30, "Adult")</f>
        <v>Senior</v>
      </c>
      <c r="I145" s="4">
        <v>59</v>
      </c>
      <c r="J145" s="4" t="s">
        <v>17</v>
      </c>
      <c r="K145" s="4">
        <v>3</v>
      </c>
      <c r="L145" s="5">
        <v>500</v>
      </c>
      <c r="M145" s="5">
        <f>K145 * L145</f>
        <v>1500</v>
      </c>
      <c r="N145" s="5">
        <f>M145 * $Q$4</f>
        <v>22.5</v>
      </c>
      <c r="O145" s="5">
        <f>M145* $Q$5</f>
        <v>30</v>
      </c>
    </row>
    <row r="146" spans="1:15">
      <c r="A146" s="2">
        <v>145</v>
      </c>
      <c r="B146" s="4">
        <f t="shared" si="6"/>
        <v>2</v>
      </c>
      <c r="C146" s="4">
        <f t="shared" si="7"/>
        <v>11</v>
      </c>
      <c r="D146" s="4">
        <f t="shared" si="8"/>
        <v>2023</v>
      </c>
      <c r="E146" s="3">
        <v>45232</v>
      </c>
      <c r="F146" s="4" t="s">
        <v>171</v>
      </c>
      <c r="G146" s="4" t="s">
        <v>19</v>
      </c>
      <c r="H146" s="4" t="str" cm="1">
        <f t="array" ref="H146">_xlfn.IFS(I146&lt;30, "Young Adult", I146&gt;=50, "Senior", I146&gt;=30, "Adult")</f>
        <v>Adult</v>
      </c>
      <c r="I146" s="4">
        <v>39</v>
      </c>
      <c r="J146" s="4" t="s">
        <v>20</v>
      </c>
      <c r="K146" s="4">
        <v>3</v>
      </c>
      <c r="L146" s="5">
        <v>25</v>
      </c>
      <c r="M146" s="5">
        <f>K146 * L146</f>
        <v>75</v>
      </c>
      <c r="N146" s="5">
        <f>M146 * $Q$4</f>
        <v>1.125</v>
      </c>
      <c r="O146" s="5">
        <f>M146* $Q$5</f>
        <v>1.5</v>
      </c>
    </row>
    <row r="147" spans="1:15">
      <c r="A147" s="2">
        <v>146</v>
      </c>
      <c r="B147" s="4">
        <f t="shared" si="6"/>
        <v>28</v>
      </c>
      <c r="C147" s="4">
        <f t="shared" si="7"/>
        <v>8</v>
      </c>
      <c r="D147" s="4">
        <f t="shared" si="8"/>
        <v>2023</v>
      </c>
      <c r="E147" s="3">
        <v>45166</v>
      </c>
      <c r="F147" s="4" t="s">
        <v>172</v>
      </c>
      <c r="G147" s="4" t="s">
        <v>16</v>
      </c>
      <c r="H147" s="4" t="str" cm="1">
        <f t="array" ref="H147">_xlfn.IFS(I147&lt;30, "Young Adult", I147&gt;=50, "Senior", I147&gt;=30, "Adult")</f>
        <v>Adult</v>
      </c>
      <c r="I147" s="4">
        <v>38</v>
      </c>
      <c r="J147" s="4" t="s">
        <v>20</v>
      </c>
      <c r="K147" s="4">
        <v>4</v>
      </c>
      <c r="L147" s="5">
        <v>50</v>
      </c>
      <c r="M147" s="5">
        <f>K147 * L147</f>
        <v>200</v>
      </c>
      <c r="N147" s="5">
        <f>M147 * $Q$4</f>
        <v>3</v>
      </c>
      <c r="O147" s="5">
        <f>M147* $Q$5</f>
        <v>4</v>
      </c>
    </row>
    <row r="148" spans="1:15">
      <c r="A148" s="2">
        <v>147</v>
      </c>
      <c r="B148" s="4">
        <f t="shared" si="6"/>
        <v>28</v>
      </c>
      <c r="C148" s="4">
        <f t="shared" si="7"/>
        <v>9</v>
      </c>
      <c r="D148" s="4">
        <f t="shared" si="8"/>
        <v>2023</v>
      </c>
      <c r="E148" s="3">
        <v>45197</v>
      </c>
      <c r="F148" s="4" t="s">
        <v>173</v>
      </c>
      <c r="G148" s="4" t="s">
        <v>16</v>
      </c>
      <c r="H148" s="4" t="str" cm="1">
        <f t="array" ref="H148">_xlfn.IFS(I148&lt;30, "Young Adult", I148&gt;=50, "Senior", I148&gt;=30, "Adult")</f>
        <v>Young Adult</v>
      </c>
      <c r="I148" s="4">
        <v>23</v>
      </c>
      <c r="J148" s="4" t="s">
        <v>24</v>
      </c>
      <c r="K148" s="4">
        <v>1</v>
      </c>
      <c r="L148" s="5">
        <v>300</v>
      </c>
      <c r="M148" s="5">
        <f>K148 * L148</f>
        <v>300</v>
      </c>
      <c r="N148" s="5">
        <f>M148 * $Q$4</f>
        <v>4.5</v>
      </c>
      <c r="O148" s="5">
        <f>M148* $Q$5</f>
        <v>6</v>
      </c>
    </row>
    <row r="149" spans="1:15">
      <c r="A149" s="2">
        <v>148</v>
      </c>
      <c r="B149" s="4">
        <f t="shared" si="6"/>
        <v>9</v>
      </c>
      <c r="C149" s="4">
        <f t="shared" si="7"/>
        <v>5</v>
      </c>
      <c r="D149" s="4">
        <f t="shared" si="8"/>
        <v>2023</v>
      </c>
      <c r="E149" s="3">
        <v>45055</v>
      </c>
      <c r="F149" s="4" t="s">
        <v>174</v>
      </c>
      <c r="G149" s="4" t="s">
        <v>16</v>
      </c>
      <c r="H149" s="4" t="str" cm="1">
        <f t="array" ref="H149">_xlfn.IFS(I149&lt;30, "Young Adult", I149&gt;=50, "Senior", I149&gt;=30, "Adult")</f>
        <v>Young Adult</v>
      </c>
      <c r="I149" s="4">
        <v>18</v>
      </c>
      <c r="J149" s="4" t="s">
        <v>20</v>
      </c>
      <c r="K149" s="4">
        <v>2</v>
      </c>
      <c r="L149" s="5">
        <v>30</v>
      </c>
      <c r="M149" s="5">
        <f>K149 * L149</f>
        <v>60</v>
      </c>
      <c r="N149" s="5">
        <f>M149 * $Q$4</f>
        <v>0.89999999999999991</v>
      </c>
      <c r="O149" s="5">
        <f>M149* $Q$5</f>
        <v>1.2</v>
      </c>
    </row>
    <row r="150" spans="1:15">
      <c r="A150" s="2">
        <v>149</v>
      </c>
      <c r="B150" s="4">
        <f t="shared" si="6"/>
        <v>11</v>
      </c>
      <c r="C150" s="4">
        <f t="shared" si="7"/>
        <v>10</v>
      </c>
      <c r="D150" s="4">
        <f t="shared" si="8"/>
        <v>2023</v>
      </c>
      <c r="E150" s="3">
        <v>45210</v>
      </c>
      <c r="F150" s="4" t="s">
        <v>175</v>
      </c>
      <c r="G150" s="4" t="s">
        <v>16</v>
      </c>
      <c r="H150" s="4" t="str" cm="1">
        <f t="array" ref="H150">_xlfn.IFS(I150&lt;30, "Young Adult", I150&gt;=50, "Senior", I150&gt;=30, "Adult")</f>
        <v>Young Adult</v>
      </c>
      <c r="I150" s="4">
        <v>22</v>
      </c>
      <c r="J150" s="4" t="s">
        <v>20</v>
      </c>
      <c r="K150" s="4">
        <v>3</v>
      </c>
      <c r="L150" s="5">
        <v>25</v>
      </c>
      <c r="M150" s="5">
        <f>K150 * L150</f>
        <v>75</v>
      </c>
      <c r="N150" s="5">
        <f>M150 * $Q$4</f>
        <v>1.125</v>
      </c>
      <c r="O150" s="5">
        <f>M150* $Q$5</f>
        <v>1.5</v>
      </c>
    </row>
    <row r="151" spans="1:15">
      <c r="A151" s="2">
        <v>150</v>
      </c>
      <c r="B151" s="4">
        <f t="shared" si="6"/>
        <v>6</v>
      </c>
      <c r="C151" s="4">
        <f t="shared" si="7"/>
        <v>1</v>
      </c>
      <c r="D151" s="4">
        <f t="shared" si="8"/>
        <v>2023</v>
      </c>
      <c r="E151" s="3">
        <v>44932</v>
      </c>
      <c r="F151" s="4" t="s">
        <v>176</v>
      </c>
      <c r="G151" s="4" t="s">
        <v>19</v>
      </c>
      <c r="H151" s="4" t="str" cm="1">
        <f t="array" ref="H151">_xlfn.IFS(I151&lt;30, "Young Adult", I151&gt;=50, "Senior", I151&gt;=30, "Adult")</f>
        <v>Senior</v>
      </c>
      <c r="I151" s="4">
        <v>58</v>
      </c>
      <c r="J151" s="4" t="s">
        <v>24</v>
      </c>
      <c r="K151" s="4">
        <v>4</v>
      </c>
      <c r="L151" s="5">
        <v>30</v>
      </c>
      <c r="M151" s="5">
        <f>K151 * L151</f>
        <v>120</v>
      </c>
      <c r="N151" s="5">
        <f>M151 * $Q$4</f>
        <v>1.7999999999999998</v>
      </c>
      <c r="O151" s="5">
        <f>M151* $Q$5</f>
        <v>2.4</v>
      </c>
    </row>
    <row r="152" spans="1:15">
      <c r="A152" s="2">
        <v>151</v>
      </c>
      <c r="B152" s="4">
        <f t="shared" si="6"/>
        <v>15</v>
      </c>
      <c r="C152" s="4">
        <f t="shared" si="7"/>
        <v>12</v>
      </c>
      <c r="D152" s="4">
        <f t="shared" si="8"/>
        <v>2023</v>
      </c>
      <c r="E152" s="3">
        <v>45275</v>
      </c>
      <c r="F152" s="4" t="s">
        <v>177</v>
      </c>
      <c r="G152" s="4" t="s">
        <v>16</v>
      </c>
      <c r="H152" s="4" t="str" cm="1">
        <f t="array" ref="H152">_xlfn.IFS(I152&lt;30, "Young Adult", I152&gt;=50, "Senior", I152&gt;=30, "Adult")</f>
        <v>Young Adult</v>
      </c>
      <c r="I152" s="4">
        <v>29</v>
      </c>
      <c r="J152" s="4" t="s">
        <v>20</v>
      </c>
      <c r="K152" s="4">
        <v>1</v>
      </c>
      <c r="L152" s="5">
        <v>50</v>
      </c>
      <c r="M152" s="5">
        <f>K152 * L152</f>
        <v>50</v>
      </c>
      <c r="N152" s="5">
        <f>M152 * $Q$4</f>
        <v>0.75</v>
      </c>
      <c r="O152" s="5">
        <f>M152* $Q$5</f>
        <v>1</v>
      </c>
    </row>
    <row r="153" spans="1:15">
      <c r="A153" s="2">
        <v>152</v>
      </c>
      <c r="B153" s="4">
        <f t="shared" si="6"/>
        <v>28</v>
      </c>
      <c r="C153" s="4">
        <f t="shared" si="7"/>
        <v>2</v>
      </c>
      <c r="D153" s="4">
        <f t="shared" si="8"/>
        <v>2023</v>
      </c>
      <c r="E153" s="3">
        <v>44985</v>
      </c>
      <c r="F153" s="4" t="s">
        <v>178</v>
      </c>
      <c r="G153" s="4" t="s">
        <v>16</v>
      </c>
      <c r="H153" s="4" t="str" cm="1">
        <f t="array" ref="H153">_xlfn.IFS(I153&lt;30, "Young Adult", I153&gt;=50, "Senior", I153&gt;=30, "Adult")</f>
        <v>Adult</v>
      </c>
      <c r="I153" s="4">
        <v>43</v>
      </c>
      <c r="J153" s="4" t="s">
        <v>24</v>
      </c>
      <c r="K153" s="4">
        <v>4</v>
      </c>
      <c r="L153" s="5">
        <v>500</v>
      </c>
      <c r="M153" s="5">
        <f>K153 * L153</f>
        <v>2000</v>
      </c>
      <c r="N153" s="5">
        <f>M153 * $Q$4</f>
        <v>30</v>
      </c>
      <c r="O153" s="5">
        <f>M153* $Q$5</f>
        <v>40</v>
      </c>
    </row>
    <row r="154" spans="1:15">
      <c r="A154" s="2">
        <v>153</v>
      </c>
      <c r="B154" s="4">
        <f t="shared" si="6"/>
        <v>16</v>
      </c>
      <c r="C154" s="4">
        <f t="shared" si="7"/>
        <v>12</v>
      </c>
      <c r="D154" s="4">
        <f t="shared" si="8"/>
        <v>2023</v>
      </c>
      <c r="E154" s="3">
        <v>45276</v>
      </c>
      <c r="F154" s="4" t="s">
        <v>179</v>
      </c>
      <c r="G154" s="4" t="s">
        <v>16</v>
      </c>
      <c r="H154" s="4" t="str" cm="1">
        <f t="array" ref="H154">_xlfn.IFS(I154&lt;30, "Young Adult", I154&gt;=50, "Senior", I154&gt;=30, "Adult")</f>
        <v>Senior</v>
      </c>
      <c r="I154" s="4">
        <v>63</v>
      </c>
      <c r="J154" s="4" t="s">
        <v>24</v>
      </c>
      <c r="K154" s="4">
        <v>2</v>
      </c>
      <c r="L154" s="5">
        <v>500</v>
      </c>
      <c r="M154" s="5">
        <f>K154 * L154</f>
        <v>1000</v>
      </c>
      <c r="N154" s="5">
        <f>M154 * $Q$4</f>
        <v>15</v>
      </c>
      <c r="O154" s="5">
        <f>M154* $Q$5</f>
        <v>20</v>
      </c>
    </row>
    <row r="155" spans="1:15">
      <c r="A155" s="2">
        <v>154</v>
      </c>
      <c r="B155" s="4">
        <f t="shared" si="6"/>
        <v>2</v>
      </c>
      <c r="C155" s="4">
        <f t="shared" si="7"/>
        <v>10</v>
      </c>
      <c r="D155" s="4">
        <f t="shared" si="8"/>
        <v>2023</v>
      </c>
      <c r="E155" s="3">
        <v>45201</v>
      </c>
      <c r="F155" s="4" t="s">
        <v>180</v>
      </c>
      <c r="G155" s="4" t="s">
        <v>16</v>
      </c>
      <c r="H155" s="4" t="str" cm="1">
        <f t="array" ref="H155">_xlfn.IFS(I155&lt;30, "Young Adult", I155&gt;=50, "Senior", I155&gt;=30, "Adult")</f>
        <v>Senior</v>
      </c>
      <c r="I155" s="4">
        <v>51</v>
      </c>
      <c r="J155" s="4" t="s">
        <v>24</v>
      </c>
      <c r="K155" s="4">
        <v>3</v>
      </c>
      <c r="L155" s="5">
        <v>300</v>
      </c>
      <c r="M155" s="5">
        <f>K155 * L155</f>
        <v>900</v>
      </c>
      <c r="N155" s="5">
        <f>M155 * $Q$4</f>
        <v>13.5</v>
      </c>
      <c r="O155" s="5">
        <f>M155* $Q$5</f>
        <v>18</v>
      </c>
    </row>
    <row r="156" spans="1:15">
      <c r="A156" s="2">
        <v>155</v>
      </c>
      <c r="B156" s="4">
        <f t="shared" si="6"/>
        <v>17</v>
      </c>
      <c r="C156" s="4">
        <f t="shared" si="7"/>
        <v>5</v>
      </c>
      <c r="D156" s="4">
        <f t="shared" si="8"/>
        <v>2023</v>
      </c>
      <c r="E156" s="3">
        <v>45063</v>
      </c>
      <c r="F156" s="4" t="s">
        <v>181</v>
      </c>
      <c r="G156" s="4" t="s">
        <v>16</v>
      </c>
      <c r="H156" s="4" t="str" cm="1">
        <f t="array" ref="H156">_xlfn.IFS(I156&lt;30, "Young Adult", I156&gt;=50, "Senior", I156&gt;=30, "Adult")</f>
        <v>Adult</v>
      </c>
      <c r="I156" s="4">
        <v>31</v>
      </c>
      <c r="J156" s="4" t="s">
        <v>24</v>
      </c>
      <c r="K156" s="4">
        <v>4</v>
      </c>
      <c r="L156" s="5">
        <v>500</v>
      </c>
      <c r="M156" s="5">
        <f>K156 * L156</f>
        <v>2000</v>
      </c>
      <c r="N156" s="5">
        <f>M156 * $Q$4</f>
        <v>30</v>
      </c>
      <c r="O156" s="5">
        <f>M156* $Q$5</f>
        <v>40</v>
      </c>
    </row>
    <row r="157" spans="1:15">
      <c r="A157" s="2">
        <v>156</v>
      </c>
      <c r="B157" s="4">
        <f t="shared" si="6"/>
        <v>25</v>
      </c>
      <c r="C157" s="4">
        <f t="shared" si="7"/>
        <v>11</v>
      </c>
      <c r="D157" s="4">
        <f t="shared" si="8"/>
        <v>2023</v>
      </c>
      <c r="E157" s="3">
        <v>45255</v>
      </c>
      <c r="F157" s="4" t="s">
        <v>182</v>
      </c>
      <c r="G157" s="4" t="s">
        <v>19</v>
      </c>
      <c r="H157" s="4" t="str" cm="1">
        <f t="array" ref="H157">_xlfn.IFS(I157&lt;30, "Young Adult", I157&gt;=50, "Senior", I157&gt;=30, "Adult")</f>
        <v>Adult</v>
      </c>
      <c r="I157" s="4">
        <v>43</v>
      </c>
      <c r="J157" s="4" t="s">
        <v>20</v>
      </c>
      <c r="K157" s="4">
        <v>4</v>
      </c>
      <c r="L157" s="5">
        <v>25</v>
      </c>
      <c r="M157" s="5">
        <f>K157 * L157</f>
        <v>100</v>
      </c>
      <c r="N157" s="5">
        <f>M157 * $Q$4</f>
        <v>1.5</v>
      </c>
      <c r="O157" s="5">
        <f>M157* $Q$5</f>
        <v>2</v>
      </c>
    </row>
    <row r="158" spans="1:15">
      <c r="A158" s="2">
        <v>157</v>
      </c>
      <c r="B158" s="4">
        <f t="shared" si="6"/>
        <v>24</v>
      </c>
      <c r="C158" s="4">
        <f t="shared" si="7"/>
        <v>6</v>
      </c>
      <c r="D158" s="4">
        <f t="shared" si="8"/>
        <v>2023</v>
      </c>
      <c r="E158" s="3">
        <v>45101</v>
      </c>
      <c r="F158" s="4" t="s">
        <v>183</v>
      </c>
      <c r="G158" s="4" t="s">
        <v>16</v>
      </c>
      <c r="H158" s="4" t="str" cm="1">
        <f t="array" ref="H158">_xlfn.IFS(I158&lt;30, "Young Adult", I158&gt;=50, "Senior", I158&gt;=30, "Adult")</f>
        <v>Senior</v>
      </c>
      <c r="I158" s="4">
        <v>62</v>
      </c>
      <c r="J158" s="4" t="s">
        <v>24</v>
      </c>
      <c r="K158" s="4">
        <v>4</v>
      </c>
      <c r="L158" s="5">
        <v>500</v>
      </c>
      <c r="M158" s="5">
        <f>K158 * L158</f>
        <v>2000</v>
      </c>
      <c r="N158" s="5">
        <f>M158 * $Q$4</f>
        <v>30</v>
      </c>
      <c r="O158" s="5">
        <f>M158* $Q$5</f>
        <v>40</v>
      </c>
    </row>
    <row r="159" spans="1:15">
      <c r="A159" s="2">
        <v>158</v>
      </c>
      <c r="B159" s="4">
        <f t="shared" si="6"/>
        <v>27</v>
      </c>
      <c r="C159" s="4">
        <f t="shared" si="7"/>
        <v>2</v>
      </c>
      <c r="D159" s="4">
        <f t="shared" si="8"/>
        <v>2023</v>
      </c>
      <c r="E159" s="3">
        <v>44984</v>
      </c>
      <c r="F159" s="4" t="s">
        <v>184</v>
      </c>
      <c r="G159" s="4" t="s">
        <v>19</v>
      </c>
      <c r="H159" s="4" t="str" cm="1">
        <f t="array" ref="H159">_xlfn.IFS(I159&lt;30, "Young Adult", I159&gt;=50, "Senior", I159&gt;=30, "Adult")</f>
        <v>Adult</v>
      </c>
      <c r="I159" s="4">
        <v>44</v>
      </c>
      <c r="J159" s="4" t="s">
        <v>24</v>
      </c>
      <c r="K159" s="4">
        <v>2</v>
      </c>
      <c r="L159" s="5">
        <v>300</v>
      </c>
      <c r="M159" s="5">
        <f>K159 * L159</f>
        <v>600</v>
      </c>
      <c r="N159" s="5">
        <f>M159 * $Q$4</f>
        <v>9</v>
      </c>
      <c r="O159" s="5">
        <f>M159* $Q$5</f>
        <v>12</v>
      </c>
    </row>
    <row r="160" spans="1:15">
      <c r="A160" s="2">
        <v>159</v>
      </c>
      <c r="B160" s="4">
        <f t="shared" si="6"/>
        <v>31</v>
      </c>
      <c r="C160" s="4">
        <f t="shared" si="7"/>
        <v>5</v>
      </c>
      <c r="D160" s="4">
        <f t="shared" si="8"/>
        <v>2023</v>
      </c>
      <c r="E160" s="3">
        <v>45077</v>
      </c>
      <c r="F160" s="4" t="s">
        <v>185</v>
      </c>
      <c r="G160" s="4" t="s">
        <v>16</v>
      </c>
      <c r="H160" s="4" t="str" cm="1">
        <f t="array" ref="H160">_xlfn.IFS(I160&lt;30, "Young Adult", I160&gt;=50, "Senior", I160&gt;=30, "Adult")</f>
        <v>Young Adult</v>
      </c>
      <c r="I160" s="4">
        <v>26</v>
      </c>
      <c r="J160" s="4" t="s">
        <v>20</v>
      </c>
      <c r="K160" s="4">
        <v>4</v>
      </c>
      <c r="L160" s="5">
        <v>50</v>
      </c>
      <c r="M160" s="5">
        <f>K160 * L160</f>
        <v>200</v>
      </c>
      <c r="N160" s="5">
        <f>M160 * $Q$4</f>
        <v>3</v>
      </c>
      <c r="O160" s="5">
        <f>M160* $Q$5</f>
        <v>4</v>
      </c>
    </row>
    <row r="161" spans="1:15">
      <c r="A161" s="2">
        <v>160</v>
      </c>
      <c r="B161" s="4">
        <f t="shared" si="6"/>
        <v>11</v>
      </c>
      <c r="C161" s="4">
        <f t="shared" si="7"/>
        <v>8</v>
      </c>
      <c r="D161" s="4">
        <f t="shared" si="8"/>
        <v>2023</v>
      </c>
      <c r="E161" s="3">
        <v>45149</v>
      </c>
      <c r="F161" s="4" t="s">
        <v>186</v>
      </c>
      <c r="G161" s="4" t="s">
        <v>19</v>
      </c>
      <c r="H161" s="4" t="str" cm="1">
        <f t="array" ref="H161">_xlfn.IFS(I161&lt;30, "Young Adult", I161&gt;=50, "Senior", I161&gt;=30, "Adult")</f>
        <v>Adult</v>
      </c>
      <c r="I161" s="4">
        <v>43</v>
      </c>
      <c r="J161" s="4" t="s">
        <v>20</v>
      </c>
      <c r="K161" s="4">
        <v>2</v>
      </c>
      <c r="L161" s="5">
        <v>50</v>
      </c>
      <c r="M161" s="5">
        <f>K161 * L161</f>
        <v>100</v>
      </c>
      <c r="N161" s="5">
        <f>M161 * $Q$4</f>
        <v>1.5</v>
      </c>
      <c r="O161" s="5">
        <f>M161* $Q$5</f>
        <v>2</v>
      </c>
    </row>
    <row r="162" spans="1:15">
      <c r="A162" s="2">
        <v>161</v>
      </c>
      <c r="B162" s="4">
        <f t="shared" si="6"/>
        <v>22</v>
      </c>
      <c r="C162" s="4">
        <f t="shared" si="7"/>
        <v>3</v>
      </c>
      <c r="D162" s="4">
        <f t="shared" si="8"/>
        <v>2023</v>
      </c>
      <c r="E162" s="3">
        <v>45007</v>
      </c>
      <c r="F162" s="4" t="s">
        <v>187</v>
      </c>
      <c r="G162" s="4" t="s">
        <v>16</v>
      </c>
      <c r="H162" s="4" t="str" cm="1">
        <f t="array" ref="H162">_xlfn.IFS(I162&lt;30, "Young Adult", I162&gt;=50, "Senior", I162&gt;=30, "Adult")</f>
        <v>Senior</v>
      </c>
      <c r="I162" s="4">
        <v>64</v>
      </c>
      <c r="J162" s="4" t="s">
        <v>17</v>
      </c>
      <c r="K162" s="4">
        <v>2</v>
      </c>
      <c r="L162" s="5">
        <v>500</v>
      </c>
      <c r="M162" s="5">
        <f>K162 * L162</f>
        <v>1000</v>
      </c>
      <c r="N162" s="5">
        <f>M162 * $Q$4</f>
        <v>15</v>
      </c>
      <c r="O162" s="5">
        <f>M162* $Q$5</f>
        <v>20</v>
      </c>
    </row>
    <row r="163" spans="1:15">
      <c r="A163" s="2">
        <v>162</v>
      </c>
      <c r="B163" s="4">
        <f t="shared" si="6"/>
        <v>21</v>
      </c>
      <c r="C163" s="4">
        <f t="shared" si="7"/>
        <v>8</v>
      </c>
      <c r="D163" s="4">
        <f t="shared" si="8"/>
        <v>2023</v>
      </c>
      <c r="E163" s="3">
        <v>45159</v>
      </c>
      <c r="F163" s="4" t="s">
        <v>188</v>
      </c>
      <c r="G163" s="4" t="s">
        <v>16</v>
      </c>
      <c r="H163" s="4" t="str" cm="1">
        <f t="array" ref="H163">_xlfn.IFS(I163&lt;30, "Young Adult", I163&gt;=50, "Senior", I163&gt;=30, "Adult")</f>
        <v>Adult</v>
      </c>
      <c r="I163" s="4">
        <v>39</v>
      </c>
      <c r="J163" s="4" t="s">
        <v>20</v>
      </c>
      <c r="K163" s="4">
        <v>2</v>
      </c>
      <c r="L163" s="5">
        <v>30</v>
      </c>
      <c r="M163" s="5">
        <f>K163 * L163</f>
        <v>60</v>
      </c>
      <c r="N163" s="5">
        <f>M163 * $Q$4</f>
        <v>0.89999999999999991</v>
      </c>
      <c r="O163" s="5">
        <f>M163* $Q$5</f>
        <v>1.2</v>
      </c>
    </row>
    <row r="164" spans="1:15">
      <c r="A164" s="2">
        <v>163</v>
      </c>
      <c r="B164" s="4">
        <f t="shared" si="6"/>
        <v>2</v>
      </c>
      <c r="C164" s="4">
        <f t="shared" si="7"/>
        <v>1</v>
      </c>
      <c r="D164" s="4">
        <f t="shared" si="8"/>
        <v>2023</v>
      </c>
      <c r="E164" s="3">
        <v>44928</v>
      </c>
      <c r="F164" s="4" t="s">
        <v>189</v>
      </c>
      <c r="G164" s="4" t="s">
        <v>19</v>
      </c>
      <c r="H164" s="4" t="str" cm="1">
        <f t="array" ref="H164">_xlfn.IFS(I164&lt;30, "Young Adult", I164&gt;=50, "Senior", I164&gt;=30, "Adult")</f>
        <v>Senior</v>
      </c>
      <c r="I164" s="4">
        <v>64</v>
      </c>
      <c r="J164" s="4" t="s">
        <v>20</v>
      </c>
      <c r="K164" s="4">
        <v>3</v>
      </c>
      <c r="L164" s="5">
        <v>50</v>
      </c>
      <c r="M164" s="5">
        <f>K164 * L164</f>
        <v>150</v>
      </c>
      <c r="N164" s="5">
        <f>M164 * $Q$4</f>
        <v>2.25</v>
      </c>
      <c r="O164" s="5">
        <f>M164* $Q$5</f>
        <v>3</v>
      </c>
    </row>
    <row r="165" spans="1:15">
      <c r="A165" s="2">
        <v>164</v>
      </c>
      <c r="B165" s="4">
        <f t="shared" si="6"/>
        <v>15</v>
      </c>
      <c r="C165" s="4">
        <f t="shared" si="7"/>
        <v>5</v>
      </c>
      <c r="D165" s="4">
        <f t="shared" si="8"/>
        <v>2023</v>
      </c>
      <c r="E165" s="3">
        <v>45061</v>
      </c>
      <c r="F165" s="4" t="s">
        <v>190</v>
      </c>
      <c r="G165" s="4" t="s">
        <v>19</v>
      </c>
      <c r="H165" s="4" t="str" cm="1">
        <f t="array" ref="H165">_xlfn.IFS(I165&lt;30, "Young Adult", I165&gt;=50, "Senior", I165&gt;=30, "Adult")</f>
        <v>Adult</v>
      </c>
      <c r="I165" s="4">
        <v>47</v>
      </c>
      <c r="J165" s="4" t="s">
        <v>17</v>
      </c>
      <c r="K165" s="4">
        <v>3</v>
      </c>
      <c r="L165" s="5">
        <v>500</v>
      </c>
      <c r="M165" s="5">
        <f>K165 * L165</f>
        <v>1500</v>
      </c>
      <c r="N165" s="5">
        <f>M165 * $Q$4</f>
        <v>22.5</v>
      </c>
      <c r="O165" s="5">
        <f>M165* $Q$5</f>
        <v>30</v>
      </c>
    </row>
    <row r="166" spans="1:15">
      <c r="A166" s="2">
        <v>165</v>
      </c>
      <c r="B166" s="4">
        <f t="shared" si="6"/>
        <v>14</v>
      </c>
      <c r="C166" s="4">
        <f t="shared" si="7"/>
        <v>9</v>
      </c>
      <c r="D166" s="4">
        <f t="shared" si="8"/>
        <v>2023</v>
      </c>
      <c r="E166" s="3">
        <v>45183</v>
      </c>
      <c r="F166" s="4" t="s">
        <v>191</v>
      </c>
      <c r="G166" s="4" t="s">
        <v>19</v>
      </c>
      <c r="H166" s="4" t="str" cm="1">
        <f t="array" ref="H166">_xlfn.IFS(I166&lt;30, "Young Adult", I166&gt;=50, "Senior", I166&gt;=30, "Adult")</f>
        <v>Senior</v>
      </c>
      <c r="I166" s="4">
        <v>60</v>
      </c>
      <c r="J166" s="4" t="s">
        <v>20</v>
      </c>
      <c r="K166" s="4">
        <v>4</v>
      </c>
      <c r="L166" s="5">
        <v>300</v>
      </c>
      <c r="M166" s="5">
        <f>K166 * L166</f>
        <v>1200</v>
      </c>
      <c r="N166" s="5">
        <f>M166 * $Q$4</f>
        <v>18</v>
      </c>
      <c r="O166" s="5">
        <f>M166* $Q$5</f>
        <v>24</v>
      </c>
    </row>
    <row r="167" spans="1:15">
      <c r="A167" s="2">
        <v>166</v>
      </c>
      <c r="B167" s="4">
        <f t="shared" si="6"/>
        <v>2</v>
      </c>
      <c r="C167" s="4">
        <f t="shared" si="7"/>
        <v>4</v>
      </c>
      <c r="D167" s="4">
        <f t="shared" si="8"/>
        <v>2023</v>
      </c>
      <c r="E167" s="3">
        <v>45018</v>
      </c>
      <c r="F167" s="4" t="s">
        <v>192</v>
      </c>
      <c r="G167" s="4" t="s">
        <v>16</v>
      </c>
      <c r="H167" s="4" t="str" cm="1">
        <f t="array" ref="H167">_xlfn.IFS(I167&lt;30, "Young Adult", I167&gt;=50, "Senior", I167&gt;=30, "Adult")</f>
        <v>Adult</v>
      </c>
      <c r="I167" s="4">
        <v>34</v>
      </c>
      <c r="J167" s="4" t="s">
        <v>20</v>
      </c>
      <c r="K167" s="4">
        <v>4</v>
      </c>
      <c r="L167" s="5">
        <v>500</v>
      </c>
      <c r="M167" s="5">
        <f>K167 * L167</f>
        <v>2000</v>
      </c>
      <c r="N167" s="5">
        <f>M167 * $Q$4</f>
        <v>30</v>
      </c>
      <c r="O167" s="5">
        <f>M167* $Q$5</f>
        <v>40</v>
      </c>
    </row>
    <row r="168" spans="1:15">
      <c r="A168" s="2">
        <v>167</v>
      </c>
      <c r="B168" s="4">
        <f t="shared" si="6"/>
        <v>17</v>
      </c>
      <c r="C168" s="4">
        <f t="shared" si="7"/>
        <v>9</v>
      </c>
      <c r="D168" s="4">
        <f t="shared" si="8"/>
        <v>2023</v>
      </c>
      <c r="E168" s="3">
        <v>45186</v>
      </c>
      <c r="F168" s="4" t="s">
        <v>193</v>
      </c>
      <c r="G168" s="4" t="s">
        <v>19</v>
      </c>
      <c r="H168" s="4" t="str" cm="1">
        <f t="array" ref="H168">_xlfn.IFS(I168&lt;30, "Young Adult", I168&gt;=50, "Senior", I168&gt;=30, "Adult")</f>
        <v>Adult</v>
      </c>
      <c r="I168" s="4">
        <v>43</v>
      </c>
      <c r="J168" s="4" t="s">
        <v>20</v>
      </c>
      <c r="K168" s="4">
        <v>3</v>
      </c>
      <c r="L168" s="5">
        <v>50</v>
      </c>
      <c r="M168" s="5">
        <f>K168 * L168</f>
        <v>150</v>
      </c>
      <c r="N168" s="5">
        <f>M168 * $Q$4</f>
        <v>2.25</v>
      </c>
      <c r="O168" s="5">
        <f>M168* $Q$5</f>
        <v>3</v>
      </c>
    </row>
    <row r="169" spans="1:15">
      <c r="A169" s="2">
        <v>168</v>
      </c>
      <c r="B169" s="4">
        <f t="shared" si="6"/>
        <v>24</v>
      </c>
      <c r="C169" s="4">
        <f t="shared" si="7"/>
        <v>2</v>
      </c>
      <c r="D169" s="4">
        <f t="shared" si="8"/>
        <v>2023</v>
      </c>
      <c r="E169" s="3">
        <v>44981</v>
      </c>
      <c r="F169" s="4" t="s">
        <v>194</v>
      </c>
      <c r="G169" s="4" t="s">
        <v>16</v>
      </c>
      <c r="H169" s="4" t="str" cm="1">
        <f t="array" ref="H169">_xlfn.IFS(I169&lt;30, "Young Adult", I169&gt;=50, "Senior", I169&gt;=30, "Adult")</f>
        <v>Senior</v>
      </c>
      <c r="I169" s="4">
        <v>53</v>
      </c>
      <c r="J169" s="4" t="s">
        <v>20</v>
      </c>
      <c r="K169" s="4">
        <v>1</v>
      </c>
      <c r="L169" s="5">
        <v>300</v>
      </c>
      <c r="M169" s="5">
        <f>K169 * L169</f>
        <v>300</v>
      </c>
      <c r="N169" s="5">
        <f>M169 * $Q$4</f>
        <v>4.5</v>
      </c>
      <c r="O169" s="5">
        <f>M169* $Q$5</f>
        <v>6</v>
      </c>
    </row>
    <row r="170" spans="1:15">
      <c r="A170" s="2">
        <v>169</v>
      </c>
      <c r="B170" s="4">
        <f t="shared" si="6"/>
        <v>17</v>
      </c>
      <c r="C170" s="4">
        <f t="shared" si="7"/>
        <v>11</v>
      </c>
      <c r="D170" s="4">
        <f t="shared" si="8"/>
        <v>2023</v>
      </c>
      <c r="E170" s="3">
        <v>45247</v>
      </c>
      <c r="F170" s="4" t="s">
        <v>195</v>
      </c>
      <c r="G170" s="4" t="s">
        <v>16</v>
      </c>
      <c r="H170" s="4" t="str" cm="1">
        <f t="array" ref="H170">_xlfn.IFS(I170&lt;30, "Young Adult", I170&gt;=50, "Senior", I170&gt;=30, "Adult")</f>
        <v>Young Adult</v>
      </c>
      <c r="I170" s="4">
        <v>18</v>
      </c>
      <c r="J170" s="4" t="s">
        <v>17</v>
      </c>
      <c r="K170" s="4">
        <v>3</v>
      </c>
      <c r="L170" s="5">
        <v>500</v>
      </c>
      <c r="M170" s="5">
        <f>K170 * L170</f>
        <v>1500</v>
      </c>
      <c r="N170" s="5">
        <f>M170 * $Q$4</f>
        <v>22.5</v>
      </c>
      <c r="O170" s="5">
        <f>M170* $Q$5</f>
        <v>30</v>
      </c>
    </row>
    <row r="171" spans="1:15">
      <c r="A171" s="2">
        <v>170</v>
      </c>
      <c r="B171" s="4">
        <f t="shared" si="6"/>
        <v>2</v>
      </c>
      <c r="C171" s="4">
        <f t="shared" si="7"/>
        <v>6</v>
      </c>
      <c r="D171" s="4">
        <f t="shared" si="8"/>
        <v>2023</v>
      </c>
      <c r="E171" s="3">
        <v>45079</v>
      </c>
      <c r="F171" s="4" t="s">
        <v>196</v>
      </c>
      <c r="G171" s="4" t="s">
        <v>19</v>
      </c>
      <c r="H171" s="4" t="str" cm="1">
        <f t="array" ref="H171">_xlfn.IFS(I171&lt;30, "Young Adult", I171&gt;=50, "Senior", I171&gt;=30, "Adult")</f>
        <v>Young Adult</v>
      </c>
      <c r="I171" s="4">
        <v>25</v>
      </c>
      <c r="J171" s="4" t="s">
        <v>20</v>
      </c>
      <c r="K171" s="4">
        <v>2</v>
      </c>
      <c r="L171" s="5">
        <v>25</v>
      </c>
      <c r="M171" s="5">
        <f>K171 * L171</f>
        <v>50</v>
      </c>
      <c r="N171" s="5">
        <f>M171 * $Q$4</f>
        <v>0.75</v>
      </c>
      <c r="O171" s="5">
        <f>M171* $Q$5</f>
        <v>1</v>
      </c>
    </row>
    <row r="172" spans="1:15">
      <c r="A172" s="2">
        <v>171</v>
      </c>
      <c r="B172" s="4">
        <f t="shared" si="6"/>
        <v>24</v>
      </c>
      <c r="C172" s="4">
        <f t="shared" si="7"/>
        <v>11</v>
      </c>
      <c r="D172" s="4">
        <f t="shared" si="8"/>
        <v>2023</v>
      </c>
      <c r="E172" s="3">
        <v>45254</v>
      </c>
      <c r="F172" s="4" t="s">
        <v>197</v>
      </c>
      <c r="G172" s="4" t="s">
        <v>19</v>
      </c>
      <c r="H172" s="4" t="str" cm="1">
        <f t="array" ref="H172">_xlfn.IFS(I172&lt;30, "Young Adult", I172&gt;=50, "Senior", I172&gt;=30, "Adult")</f>
        <v>Senior</v>
      </c>
      <c r="I172" s="4">
        <v>52</v>
      </c>
      <c r="J172" s="4" t="s">
        <v>20</v>
      </c>
      <c r="K172" s="4">
        <v>3</v>
      </c>
      <c r="L172" s="5">
        <v>300</v>
      </c>
      <c r="M172" s="5">
        <f>K172 * L172</f>
        <v>900</v>
      </c>
      <c r="N172" s="5">
        <f>M172 * $Q$4</f>
        <v>13.5</v>
      </c>
      <c r="O172" s="5">
        <f>M172* $Q$5</f>
        <v>18</v>
      </c>
    </row>
    <row r="173" spans="1:15">
      <c r="A173" s="2">
        <v>172</v>
      </c>
      <c r="B173" s="4">
        <f t="shared" si="6"/>
        <v>17</v>
      </c>
      <c r="C173" s="4">
        <f t="shared" si="7"/>
        <v>9</v>
      </c>
      <c r="D173" s="4">
        <f t="shared" si="8"/>
        <v>2023</v>
      </c>
      <c r="E173" s="3">
        <v>45186</v>
      </c>
      <c r="F173" s="4" t="s">
        <v>198</v>
      </c>
      <c r="G173" s="4" t="s">
        <v>16</v>
      </c>
      <c r="H173" s="4" t="str" cm="1">
        <f t="array" ref="H173">_xlfn.IFS(I173&lt;30, "Young Adult", I173&gt;=50, "Senior", I173&gt;=30, "Adult")</f>
        <v>Adult</v>
      </c>
      <c r="I173" s="4">
        <v>32</v>
      </c>
      <c r="J173" s="4" t="s">
        <v>17</v>
      </c>
      <c r="K173" s="4">
        <v>2</v>
      </c>
      <c r="L173" s="5">
        <v>25</v>
      </c>
      <c r="M173" s="5">
        <f>K173 * L173</f>
        <v>50</v>
      </c>
      <c r="N173" s="5">
        <f>M173 * $Q$4</f>
        <v>0.75</v>
      </c>
      <c r="O173" s="5">
        <f>M173* $Q$5</f>
        <v>1</v>
      </c>
    </row>
    <row r="174" spans="1:15">
      <c r="A174" s="2">
        <v>173</v>
      </c>
      <c r="B174" s="4">
        <f t="shared" si="6"/>
        <v>8</v>
      </c>
      <c r="C174" s="4">
        <f t="shared" si="7"/>
        <v>11</v>
      </c>
      <c r="D174" s="4">
        <f t="shared" si="8"/>
        <v>2023</v>
      </c>
      <c r="E174" s="3">
        <v>45238</v>
      </c>
      <c r="F174" s="4" t="s">
        <v>199</v>
      </c>
      <c r="G174" s="4" t="s">
        <v>16</v>
      </c>
      <c r="H174" s="4" t="str" cm="1">
        <f t="array" ref="H174">_xlfn.IFS(I174&lt;30, "Young Adult", I174&gt;=50, "Senior", I174&gt;=30, "Adult")</f>
        <v>Senior</v>
      </c>
      <c r="I174" s="4">
        <v>64</v>
      </c>
      <c r="J174" s="4" t="s">
        <v>24</v>
      </c>
      <c r="K174" s="4">
        <v>4</v>
      </c>
      <c r="L174" s="5">
        <v>30</v>
      </c>
      <c r="M174" s="5">
        <f>K174 * L174</f>
        <v>120</v>
      </c>
      <c r="N174" s="5">
        <f>M174 * $Q$4</f>
        <v>1.7999999999999998</v>
      </c>
      <c r="O174" s="5">
        <f>M174* $Q$5</f>
        <v>2.4</v>
      </c>
    </row>
    <row r="175" spans="1:15">
      <c r="A175" s="2">
        <v>174</v>
      </c>
      <c r="B175" s="4">
        <f t="shared" si="6"/>
        <v>12</v>
      </c>
      <c r="C175" s="4">
        <f t="shared" si="7"/>
        <v>4</v>
      </c>
      <c r="D175" s="4">
        <f t="shared" si="8"/>
        <v>2023</v>
      </c>
      <c r="E175" s="3">
        <v>45028</v>
      </c>
      <c r="F175" s="4" t="s">
        <v>200</v>
      </c>
      <c r="G175" s="4" t="s">
        <v>19</v>
      </c>
      <c r="H175" s="4" t="str" cm="1">
        <f t="array" ref="H175">_xlfn.IFS(I175&lt;30, "Young Adult", I175&gt;=50, "Senior", I175&gt;=30, "Adult")</f>
        <v>Adult</v>
      </c>
      <c r="I175" s="4">
        <v>39</v>
      </c>
      <c r="J175" s="4" t="s">
        <v>17</v>
      </c>
      <c r="K175" s="4">
        <v>1</v>
      </c>
      <c r="L175" s="5">
        <v>300</v>
      </c>
      <c r="M175" s="5">
        <f>K175 * L175</f>
        <v>300</v>
      </c>
      <c r="N175" s="5">
        <f>M175 * $Q$4</f>
        <v>4.5</v>
      </c>
      <c r="O175" s="5">
        <f>M175* $Q$5</f>
        <v>6</v>
      </c>
    </row>
    <row r="176" spans="1:15">
      <c r="A176" s="2">
        <v>175</v>
      </c>
      <c r="B176" s="4">
        <f t="shared" si="6"/>
        <v>20</v>
      </c>
      <c r="C176" s="4">
        <f t="shared" si="7"/>
        <v>3</v>
      </c>
      <c r="D176" s="4">
        <f t="shared" si="8"/>
        <v>2023</v>
      </c>
      <c r="E176" s="3">
        <v>45005</v>
      </c>
      <c r="F176" s="4" t="s">
        <v>201</v>
      </c>
      <c r="G176" s="4" t="s">
        <v>19</v>
      </c>
      <c r="H176" s="4" t="str" cm="1">
        <f t="array" ref="H176">_xlfn.IFS(I176&lt;30, "Young Adult", I176&gt;=50, "Senior", I176&gt;=30, "Adult")</f>
        <v>Adult</v>
      </c>
      <c r="I176" s="4">
        <v>31</v>
      </c>
      <c r="J176" s="4" t="s">
        <v>24</v>
      </c>
      <c r="K176" s="4">
        <v>4</v>
      </c>
      <c r="L176" s="5">
        <v>25</v>
      </c>
      <c r="M176" s="5">
        <f>K176 * L176</f>
        <v>100</v>
      </c>
      <c r="N176" s="5">
        <f>M176 * $Q$4</f>
        <v>1.5</v>
      </c>
      <c r="O176" s="5">
        <f>M176* $Q$5</f>
        <v>2</v>
      </c>
    </row>
    <row r="177" spans="1:15">
      <c r="A177" s="2">
        <v>176</v>
      </c>
      <c r="B177" s="4">
        <f t="shared" si="6"/>
        <v>11</v>
      </c>
      <c r="C177" s="4">
        <f t="shared" si="7"/>
        <v>7</v>
      </c>
      <c r="D177" s="4">
        <f t="shared" si="8"/>
        <v>2023</v>
      </c>
      <c r="E177" s="3">
        <v>45118</v>
      </c>
      <c r="F177" s="4" t="s">
        <v>202</v>
      </c>
      <c r="G177" s="4" t="s">
        <v>19</v>
      </c>
      <c r="H177" s="4" t="str" cm="1">
        <f t="array" ref="H177">_xlfn.IFS(I177&lt;30, "Young Adult", I177&gt;=50, "Senior", I177&gt;=30, "Adult")</f>
        <v>Adult</v>
      </c>
      <c r="I177" s="4">
        <v>43</v>
      </c>
      <c r="J177" s="4" t="s">
        <v>17</v>
      </c>
      <c r="K177" s="4">
        <v>2</v>
      </c>
      <c r="L177" s="5">
        <v>50</v>
      </c>
      <c r="M177" s="5">
        <f>K177 * L177</f>
        <v>100</v>
      </c>
      <c r="N177" s="5">
        <f>M177 * $Q$4</f>
        <v>1.5</v>
      </c>
      <c r="O177" s="5">
        <f>M177* $Q$5</f>
        <v>2</v>
      </c>
    </row>
    <row r="178" spans="1:15">
      <c r="A178" s="2">
        <v>177</v>
      </c>
      <c r="B178" s="4">
        <f t="shared" si="6"/>
        <v>24</v>
      </c>
      <c r="C178" s="4">
        <f t="shared" si="7"/>
        <v>3</v>
      </c>
      <c r="D178" s="4">
        <f t="shared" si="8"/>
        <v>2023</v>
      </c>
      <c r="E178" s="3">
        <v>45009</v>
      </c>
      <c r="F178" s="4" t="s">
        <v>203</v>
      </c>
      <c r="G178" s="4" t="s">
        <v>16</v>
      </c>
      <c r="H178" s="4" t="str" cm="1">
        <f t="array" ref="H178">_xlfn.IFS(I178&lt;30, "Young Adult", I178&gt;=50, "Senior", I178&gt;=30, "Adult")</f>
        <v>Adult</v>
      </c>
      <c r="I178" s="4">
        <v>45</v>
      </c>
      <c r="J178" s="4" t="s">
        <v>17</v>
      </c>
      <c r="K178" s="4">
        <v>2</v>
      </c>
      <c r="L178" s="5">
        <v>50</v>
      </c>
      <c r="M178" s="5">
        <f>K178 * L178</f>
        <v>100</v>
      </c>
      <c r="N178" s="5">
        <f>M178 * $Q$4</f>
        <v>1.5</v>
      </c>
      <c r="O178" s="5">
        <f>M178* $Q$5</f>
        <v>2</v>
      </c>
    </row>
    <row r="179" spans="1:15">
      <c r="A179" s="2">
        <v>178</v>
      </c>
      <c r="B179" s="4">
        <f t="shared" si="6"/>
        <v>4</v>
      </c>
      <c r="C179" s="4">
        <f t="shared" si="7"/>
        <v>10</v>
      </c>
      <c r="D179" s="4">
        <f t="shared" si="8"/>
        <v>2023</v>
      </c>
      <c r="E179" s="3">
        <v>45203</v>
      </c>
      <c r="F179" s="4" t="s">
        <v>204</v>
      </c>
      <c r="G179" s="4" t="s">
        <v>16</v>
      </c>
      <c r="H179" s="4" t="str" cm="1">
        <f t="array" ref="H179">_xlfn.IFS(I179&lt;30, "Young Adult", I179&gt;=50, "Senior", I179&gt;=30, "Adult")</f>
        <v>Adult</v>
      </c>
      <c r="I179" s="4">
        <v>40</v>
      </c>
      <c r="J179" s="4" t="s">
        <v>20</v>
      </c>
      <c r="K179" s="4">
        <v>2</v>
      </c>
      <c r="L179" s="5">
        <v>30</v>
      </c>
      <c r="M179" s="5">
        <f>K179 * L179</f>
        <v>60</v>
      </c>
      <c r="N179" s="5">
        <f>M179 * $Q$4</f>
        <v>0.89999999999999991</v>
      </c>
      <c r="O179" s="5">
        <f>M179* $Q$5</f>
        <v>1.2</v>
      </c>
    </row>
    <row r="180" spans="1:15">
      <c r="A180" s="2">
        <v>179</v>
      </c>
      <c r="B180" s="4">
        <f t="shared" si="6"/>
        <v>29</v>
      </c>
      <c r="C180" s="4">
        <f t="shared" si="7"/>
        <v>9</v>
      </c>
      <c r="D180" s="4">
        <f t="shared" si="8"/>
        <v>2023</v>
      </c>
      <c r="E180" s="3">
        <v>45198</v>
      </c>
      <c r="F180" s="4" t="s">
        <v>205</v>
      </c>
      <c r="G180" s="4" t="s">
        <v>16</v>
      </c>
      <c r="H180" s="4" t="str" cm="1">
        <f t="array" ref="H180">_xlfn.IFS(I180&lt;30, "Young Adult", I180&gt;=50, "Senior", I180&gt;=30, "Adult")</f>
        <v>Adult</v>
      </c>
      <c r="I180" s="4">
        <v>31</v>
      </c>
      <c r="J180" s="4" t="s">
        <v>24</v>
      </c>
      <c r="K180" s="4">
        <v>1</v>
      </c>
      <c r="L180" s="5">
        <v>300</v>
      </c>
      <c r="M180" s="5">
        <f>K180 * L180</f>
        <v>300</v>
      </c>
      <c r="N180" s="5">
        <f>M180 * $Q$4</f>
        <v>4.5</v>
      </c>
      <c r="O180" s="5">
        <f>M180* $Q$5</f>
        <v>6</v>
      </c>
    </row>
    <row r="181" spans="1:15">
      <c r="A181" s="2">
        <v>180</v>
      </c>
      <c r="B181" s="4">
        <f t="shared" si="6"/>
        <v>1</v>
      </c>
      <c r="C181" s="4">
        <f t="shared" si="7"/>
        <v>1</v>
      </c>
      <c r="D181" s="4">
        <f t="shared" si="8"/>
        <v>2023</v>
      </c>
      <c r="E181" s="3">
        <v>44927</v>
      </c>
      <c r="F181" s="4" t="s">
        <v>206</v>
      </c>
      <c r="G181" s="4" t="s">
        <v>16</v>
      </c>
      <c r="H181" s="4" t="str" cm="1">
        <f t="array" ref="H181">_xlfn.IFS(I181&lt;30, "Young Adult", I181&gt;=50, "Senior", I181&gt;=30, "Adult")</f>
        <v>Adult</v>
      </c>
      <c r="I181" s="4">
        <v>41</v>
      </c>
      <c r="J181" s="4" t="s">
        <v>20</v>
      </c>
      <c r="K181" s="4">
        <v>3</v>
      </c>
      <c r="L181" s="5">
        <v>300</v>
      </c>
      <c r="M181" s="5">
        <f>K181 * L181</f>
        <v>900</v>
      </c>
      <c r="N181" s="5">
        <f>M181 * $Q$4</f>
        <v>13.5</v>
      </c>
      <c r="O181" s="5">
        <f>M181* $Q$5</f>
        <v>18</v>
      </c>
    </row>
    <row r="182" spans="1:15">
      <c r="A182" s="2">
        <v>181</v>
      </c>
      <c r="B182" s="4">
        <f t="shared" si="6"/>
        <v>3</v>
      </c>
      <c r="C182" s="4">
        <f t="shared" si="7"/>
        <v>11</v>
      </c>
      <c r="D182" s="4">
        <f t="shared" si="8"/>
        <v>2023</v>
      </c>
      <c r="E182" s="3">
        <v>45233</v>
      </c>
      <c r="F182" s="4" t="s">
        <v>207</v>
      </c>
      <c r="G182" s="4" t="s">
        <v>16</v>
      </c>
      <c r="H182" s="4" t="str" cm="1">
        <f t="array" ref="H182">_xlfn.IFS(I182&lt;30, "Young Adult", I182&gt;=50, "Senior", I182&gt;=30, "Adult")</f>
        <v>Young Adult</v>
      </c>
      <c r="I182" s="4">
        <v>19</v>
      </c>
      <c r="J182" s="4" t="s">
        <v>24</v>
      </c>
      <c r="K182" s="4">
        <v>4</v>
      </c>
      <c r="L182" s="5">
        <v>300</v>
      </c>
      <c r="M182" s="5">
        <f>K182 * L182</f>
        <v>1200</v>
      </c>
      <c r="N182" s="5">
        <f>M182 * $Q$4</f>
        <v>18</v>
      </c>
      <c r="O182" s="5">
        <f>M182* $Q$5</f>
        <v>24</v>
      </c>
    </row>
    <row r="183" spans="1:15">
      <c r="A183" s="2">
        <v>182</v>
      </c>
      <c r="B183" s="4">
        <f t="shared" si="6"/>
        <v>15</v>
      </c>
      <c r="C183" s="4">
        <f t="shared" si="7"/>
        <v>6</v>
      </c>
      <c r="D183" s="4">
        <f t="shared" si="8"/>
        <v>2023</v>
      </c>
      <c r="E183" s="3">
        <v>45092</v>
      </c>
      <c r="F183" s="4" t="s">
        <v>208</v>
      </c>
      <c r="G183" s="4" t="s">
        <v>16</v>
      </c>
      <c r="H183" s="4" t="str" cm="1">
        <f t="array" ref="H183">_xlfn.IFS(I183&lt;30, "Young Adult", I183&gt;=50, "Senior", I183&gt;=30, "Adult")</f>
        <v>Senior</v>
      </c>
      <c r="I183" s="4">
        <v>62</v>
      </c>
      <c r="J183" s="4" t="s">
        <v>17</v>
      </c>
      <c r="K183" s="4">
        <v>4</v>
      </c>
      <c r="L183" s="5">
        <v>30</v>
      </c>
      <c r="M183" s="5">
        <f>K183 * L183</f>
        <v>120</v>
      </c>
      <c r="N183" s="5">
        <f>M183 * $Q$4</f>
        <v>1.7999999999999998</v>
      </c>
      <c r="O183" s="5">
        <f>M183* $Q$5</f>
        <v>2.4</v>
      </c>
    </row>
    <row r="184" spans="1:15">
      <c r="A184" s="2">
        <v>183</v>
      </c>
      <c r="B184" s="4">
        <f t="shared" si="6"/>
        <v>8</v>
      </c>
      <c r="C184" s="4">
        <f t="shared" si="7"/>
        <v>9</v>
      </c>
      <c r="D184" s="4">
        <f t="shared" si="8"/>
        <v>2023</v>
      </c>
      <c r="E184" s="3">
        <v>45177</v>
      </c>
      <c r="F184" s="4" t="s">
        <v>209</v>
      </c>
      <c r="G184" s="4" t="s">
        <v>19</v>
      </c>
      <c r="H184" s="4" t="str" cm="1">
        <f t="array" ref="H184">_xlfn.IFS(I184&lt;30, "Young Adult", I184&gt;=50, "Senior", I184&gt;=30, "Adult")</f>
        <v>Adult</v>
      </c>
      <c r="I184" s="4">
        <v>43</v>
      </c>
      <c r="J184" s="4" t="s">
        <v>17</v>
      </c>
      <c r="K184" s="4">
        <v>3</v>
      </c>
      <c r="L184" s="5">
        <v>300</v>
      </c>
      <c r="M184" s="5">
        <f>K184 * L184</f>
        <v>900</v>
      </c>
      <c r="N184" s="5">
        <f>M184 * $Q$4</f>
        <v>13.5</v>
      </c>
      <c r="O184" s="5">
        <f>M184* $Q$5</f>
        <v>18</v>
      </c>
    </row>
    <row r="185" spans="1:15">
      <c r="A185" s="2">
        <v>184</v>
      </c>
      <c r="B185" s="4">
        <f t="shared" si="6"/>
        <v>10</v>
      </c>
      <c r="C185" s="4">
        <f t="shared" si="7"/>
        <v>1</v>
      </c>
      <c r="D185" s="4">
        <f t="shared" si="8"/>
        <v>2023</v>
      </c>
      <c r="E185" s="3">
        <v>44936</v>
      </c>
      <c r="F185" s="4" t="s">
        <v>210</v>
      </c>
      <c r="G185" s="4" t="s">
        <v>16</v>
      </c>
      <c r="H185" s="4" t="str" cm="1">
        <f t="array" ref="H185">_xlfn.IFS(I185&lt;30, "Young Adult", I185&gt;=50, "Senior", I185&gt;=30, "Adult")</f>
        <v>Adult</v>
      </c>
      <c r="I185" s="4">
        <v>31</v>
      </c>
      <c r="J185" s="4" t="s">
        <v>24</v>
      </c>
      <c r="K185" s="4">
        <v>4</v>
      </c>
      <c r="L185" s="5">
        <v>50</v>
      </c>
      <c r="M185" s="5">
        <f>K185 * L185</f>
        <v>200</v>
      </c>
      <c r="N185" s="5">
        <f>M185 * $Q$4</f>
        <v>3</v>
      </c>
      <c r="O185" s="5">
        <f>M185* $Q$5</f>
        <v>4</v>
      </c>
    </row>
    <row r="186" spans="1:15">
      <c r="A186" s="2">
        <v>185</v>
      </c>
      <c r="B186" s="4">
        <f t="shared" si="6"/>
        <v>27</v>
      </c>
      <c r="C186" s="4">
        <f t="shared" si="7"/>
        <v>2</v>
      </c>
      <c r="D186" s="4">
        <f t="shared" si="8"/>
        <v>2023</v>
      </c>
      <c r="E186" s="3">
        <v>44984</v>
      </c>
      <c r="F186" s="4" t="s">
        <v>211</v>
      </c>
      <c r="G186" s="4" t="s">
        <v>16</v>
      </c>
      <c r="H186" s="4" t="str" cm="1">
        <f t="array" ref="H186">_xlfn.IFS(I186&lt;30, "Young Adult", I186&gt;=50, "Senior", I186&gt;=30, "Adult")</f>
        <v>Young Adult</v>
      </c>
      <c r="I186" s="4">
        <v>24</v>
      </c>
      <c r="J186" s="4" t="s">
        <v>20</v>
      </c>
      <c r="K186" s="4">
        <v>1</v>
      </c>
      <c r="L186" s="5">
        <v>25</v>
      </c>
      <c r="M186" s="5">
        <f>K186 * L186</f>
        <v>25</v>
      </c>
      <c r="N186" s="5">
        <f>M186 * $Q$4</f>
        <v>0.375</v>
      </c>
      <c r="O186" s="5">
        <f>M186* $Q$5</f>
        <v>0.5</v>
      </c>
    </row>
    <row r="187" spans="1:15">
      <c r="A187" s="2">
        <v>186</v>
      </c>
      <c r="B187" s="4">
        <f t="shared" si="6"/>
        <v>5</v>
      </c>
      <c r="C187" s="4">
        <f t="shared" si="7"/>
        <v>7</v>
      </c>
      <c r="D187" s="4">
        <f t="shared" si="8"/>
        <v>2023</v>
      </c>
      <c r="E187" s="3">
        <v>45112</v>
      </c>
      <c r="F187" s="4" t="s">
        <v>212</v>
      </c>
      <c r="G187" s="4" t="s">
        <v>16</v>
      </c>
      <c r="H187" s="4" t="str" cm="1">
        <f t="array" ref="H187">_xlfn.IFS(I187&lt;30, "Young Adult", I187&gt;=50, "Senior", I187&gt;=30, "Adult")</f>
        <v>Young Adult</v>
      </c>
      <c r="I187" s="4">
        <v>20</v>
      </c>
      <c r="J187" s="4" t="s">
        <v>20</v>
      </c>
      <c r="K187" s="4">
        <v>4</v>
      </c>
      <c r="L187" s="5">
        <v>50</v>
      </c>
      <c r="M187" s="5">
        <f>K187 * L187</f>
        <v>200</v>
      </c>
      <c r="N187" s="5">
        <f>M187 * $Q$4</f>
        <v>3</v>
      </c>
      <c r="O187" s="5">
        <f>M187* $Q$5</f>
        <v>4</v>
      </c>
    </row>
    <row r="188" spans="1:15">
      <c r="A188" s="2">
        <v>187</v>
      </c>
      <c r="B188" s="4">
        <f t="shared" si="6"/>
        <v>7</v>
      </c>
      <c r="C188" s="4">
        <f t="shared" si="7"/>
        <v>6</v>
      </c>
      <c r="D188" s="4">
        <f t="shared" si="8"/>
        <v>2023</v>
      </c>
      <c r="E188" s="3">
        <v>45084</v>
      </c>
      <c r="F188" s="4" t="s">
        <v>213</v>
      </c>
      <c r="G188" s="4" t="s">
        <v>19</v>
      </c>
      <c r="H188" s="4" t="str" cm="1">
        <f t="array" ref="H188">_xlfn.IFS(I188&lt;30, "Young Adult", I188&gt;=50, "Senior", I188&gt;=30, "Adult")</f>
        <v>Senior</v>
      </c>
      <c r="I188" s="4">
        <v>64</v>
      </c>
      <c r="J188" s="4" t="s">
        <v>20</v>
      </c>
      <c r="K188" s="4">
        <v>2</v>
      </c>
      <c r="L188" s="5">
        <v>50</v>
      </c>
      <c r="M188" s="5">
        <f>K188 * L188</f>
        <v>100</v>
      </c>
      <c r="N188" s="5">
        <f>M188 * $Q$4</f>
        <v>1.5</v>
      </c>
      <c r="O188" s="5">
        <f>M188* $Q$5</f>
        <v>2</v>
      </c>
    </row>
    <row r="189" spans="1:15">
      <c r="A189" s="2">
        <v>188</v>
      </c>
      <c r="B189" s="4">
        <f t="shared" si="6"/>
        <v>3</v>
      </c>
      <c r="C189" s="4">
        <f t="shared" si="7"/>
        <v>5</v>
      </c>
      <c r="D189" s="4">
        <f t="shared" si="8"/>
        <v>2023</v>
      </c>
      <c r="E189" s="3">
        <v>45049</v>
      </c>
      <c r="F189" s="4" t="s">
        <v>214</v>
      </c>
      <c r="G189" s="4" t="s">
        <v>16</v>
      </c>
      <c r="H189" s="4" t="str" cm="1">
        <f t="array" ref="H189">_xlfn.IFS(I189&lt;30, "Young Adult", I189&gt;=50, "Senior", I189&gt;=30, "Adult")</f>
        <v>Adult</v>
      </c>
      <c r="I189" s="4">
        <v>40</v>
      </c>
      <c r="J189" s="4" t="s">
        <v>20</v>
      </c>
      <c r="K189" s="4">
        <v>3</v>
      </c>
      <c r="L189" s="5">
        <v>25</v>
      </c>
      <c r="M189" s="5">
        <f>K189 * L189</f>
        <v>75</v>
      </c>
      <c r="N189" s="5">
        <f>M189 * $Q$4</f>
        <v>1.125</v>
      </c>
      <c r="O189" s="5">
        <f>M189* $Q$5</f>
        <v>1.5</v>
      </c>
    </row>
    <row r="190" spans="1:15">
      <c r="A190" s="2">
        <v>189</v>
      </c>
      <c r="B190" s="4">
        <f t="shared" si="6"/>
        <v>30</v>
      </c>
      <c r="C190" s="4">
        <f t="shared" si="7"/>
        <v>1</v>
      </c>
      <c r="D190" s="4">
        <f t="shared" si="8"/>
        <v>2023</v>
      </c>
      <c r="E190" s="3">
        <v>44956</v>
      </c>
      <c r="F190" s="4" t="s">
        <v>215</v>
      </c>
      <c r="G190" s="4" t="s">
        <v>16</v>
      </c>
      <c r="H190" s="4" t="str" cm="1">
        <f t="array" ref="H190">_xlfn.IFS(I190&lt;30, "Young Adult", I190&gt;=50, "Senior", I190&gt;=30, "Adult")</f>
        <v>Senior</v>
      </c>
      <c r="I190" s="4">
        <v>63</v>
      </c>
      <c r="J190" s="4" t="s">
        <v>17</v>
      </c>
      <c r="K190" s="4">
        <v>1</v>
      </c>
      <c r="L190" s="5">
        <v>50</v>
      </c>
      <c r="M190" s="5">
        <f>K190 * L190</f>
        <v>50</v>
      </c>
      <c r="N190" s="5">
        <f>M190 * $Q$4</f>
        <v>0.75</v>
      </c>
      <c r="O190" s="5">
        <f>M190* $Q$5</f>
        <v>1</v>
      </c>
    </row>
    <row r="191" spans="1:15">
      <c r="A191" s="2">
        <v>190</v>
      </c>
      <c r="B191" s="4">
        <f t="shared" si="6"/>
        <v>4</v>
      </c>
      <c r="C191" s="4">
        <f t="shared" si="7"/>
        <v>5</v>
      </c>
      <c r="D191" s="4">
        <f t="shared" si="8"/>
        <v>2023</v>
      </c>
      <c r="E191" s="3">
        <v>45050</v>
      </c>
      <c r="F191" s="4" t="s">
        <v>216</v>
      </c>
      <c r="G191" s="4" t="s">
        <v>19</v>
      </c>
      <c r="H191" s="4" t="str" cm="1">
        <f t="array" ref="H191">_xlfn.IFS(I191&lt;30, "Young Adult", I191&gt;=50, "Senior", I191&gt;=30, "Adult")</f>
        <v>Senior</v>
      </c>
      <c r="I191" s="4">
        <v>60</v>
      </c>
      <c r="J191" s="4" t="s">
        <v>17</v>
      </c>
      <c r="K191" s="4">
        <v>3</v>
      </c>
      <c r="L191" s="5">
        <v>30</v>
      </c>
      <c r="M191" s="5">
        <f>K191 * L191</f>
        <v>90</v>
      </c>
      <c r="N191" s="5">
        <f>M191 * $Q$4</f>
        <v>1.3499999999999999</v>
      </c>
      <c r="O191" s="5">
        <f>M191* $Q$5</f>
        <v>1.8</v>
      </c>
    </row>
    <row r="192" spans="1:15">
      <c r="A192" s="2">
        <v>191</v>
      </c>
      <c r="B192" s="4">
        <f t="shared" si="6"/>
        <v>18</v>
      </c>
      <c r="C192" s="4">
        <f t="shared" si="7"/>
        <v>10</v>
      </c>
      <c r="D192" s="4">
        <f t="shared" si="8"/>
        <v>2023</v>
      </c>
      <c r="E192" s="3">
        <v>45217</v>
      </c>
      <c r="F192" s="4" t="s">
        <v>217</v>
      </c>
      <c r="G192" s="4" t="s">
        <v>16</v>
      </c>
      <c r="H192" s="4" t="str" cm="1">
        <f t="array" ref="H192">_xlfn.IFS(I192&lt;30, "Young Adult", I192&gt;=50, "Senior", I192&gt;=30, "Adult")</f>
        <v>Senior</v>
      </c>
      <c r="I192" s="4">
        <v>64</v>
      </c>
      <c r="J192" s="4" t="s">
        <v>17</v>
      </c>
      <c r="K192" s="4">
        <v>1</v>
      </c>
      <c r="L192" s="5">
        <v>25</v>
      </c>
      <c r="M192" s="5">
        <f>K192 * L192</f>
        <v>25</v>
      </c>
      <c r="N192" s="5">
        <f>M192 * $Q$4</f>
        <v>0.375</v>
      </c>
      <c r="O192" s="5">
        <f>M192* $Q$5</f>
        <v>0.5</v>
      </c>
    </row>
    <row r="193" spans="1:15">
      <c r="A193" s="2">
        <v>192</v>
      </c>
      <c r="B193" s="4">
        <f t="shared" si="6"/>
        <v>10</v>
      </c>
      <c r="C193" s="4">
        <f t="shared" si="7"/>
        <v>2</v>
      </c>
      <c r="D193" s="4">
        <f t="shared" si="8"/>
        <v>2023</v>
      </c>
      <c r="E193" s="3">
        <v>44967</v>
      </c>
      <c r="F193" s="4" t="s">
        <v>218</v>
      </c>
      <c r="G193" s="4" t="s">
        <v>16</v>
      </c>
      <c r="H193" s="4" t="str" cm="1">
        <f t="array" ref="H193">_xlfn.IFS(I193&lt;30, "Young Adult", I193&gt;=50, "Senior", I193&gt;=30, "Adult")</f>
        <v>Senior</v>
      </c>
      <c r="I193" s="4">
        <v>62</v>
      </c>
      <c r="J193" s="4" t="s">
        <v>17</v>
      </c>
      <c r="K193" s="4">
        <v>2</v>
      </c>
      <c r="L193" s="5">
        <v>50</v>
      </c>
      <c r="M193" s="5">
        <f>K193 * L193</f>
        <v>100</v>
      </c>
      <c r="N193" s="5">
        <f>M193 * $Q$4</f>
        <v>1.5</v>
      </c>
      <c r="O193" s="5">
        <f>M193* $Q$5</f>
        <v>2</v>
      </c>
    </row>
    <row r="194" spans="1:15">
      <c r="A194" s="2">
        <v>193</v>
      </c>
      <c r="B194" s="4">
        <f t="shared" si="6"/>
        <v>13</v>
      </c>
      <c r="C194" s="4">
        <f t="shared" si="7"/>
        <v>2</v>
      </c>
      <c r="D194" s="4">
        <f t="shared" si="8"/>
        <v>2023</v>
      </c>
      <c r="E194" s="3">
        <v>44970</v>
      </c>
      <c r="F194" s="4" t="s">
        <v>219</v>
      </c>
      <c r="G194" s="4" t="s">
        <v>16</v>
      </c>
      <c r="H194" s="4" t="str" cm="1">
        <f t="array" ref="H194">_xlfn.IFS(I194&lt;30, "Young Adult", I194&gt;=50, "Senior", I194&gt;=30, "Adult")</f>
        <v>Adult</v>
      </c>
      <c r="I194" s="4">
        <v>35</v>
      </c>
      <c r="J194" s="4" t="s">
        <v>17</v>
      </c>
      <c r="K194" s="4">
        <v>3</v>
      </c>
      <c r="L194" s="5">
        <v>500</v>
      </c>
      <c r="M194" s="5">
        <f>K194 * L194</f>
        <v>1500</v>
      </c>
      <c r="N194" s="5">
        <f>M194 * $Q$4</f>
        <v>22.5</v>
      </c>
      <c r="O194" s="5">
        <f>M194* $Q$5</f>
        <v>30</v>
      </c>
    </row>
    <row r="195" spans="1:15">
      <c r="A195" s="2">
        <v>194</v>
      </c>
      <c r="B195" s="4">
        <f t="shared" ref="B195:B258" si="9">DAY(E195)</f>
        <v>6</v>
      </c>
      <c r="C195" s="4">
        <f t="shared" ref="C195:C258" si="10">MONTH(E195)</f>
        <v>9</v>
      </c>
      <c r="D195" s="4">
        <f t="shared" ref="D195:D258" si="11">YEAR(E195)</f>
        <v>2023</v>
      </c>
      <c r="E195" s="3">
        <v>45175</v>
      </c>
      <c r="F195" s="4" t="s">
        <v>220</v>
      </c>
      <c r="G195" s="4" t="s">
        <v>16</v>
      </c>
      <c r="H195" s="4" t="str" cm="1">
        <f t="array" ref="H195">_xlfn.IFS(I195&lt;30, "Young Adult", I195&gt;=50, "Senior", I195&gt;=30, "Adult")</f>
        <v>Senior</v>
      </c>
      <c r="I195" s="4">
        <v>55</v>
      </c>
      <c r="J195" s="4" t="s">
        <v>20</v>
      </c>
      <c r="K195" s="4">
        <v>4</v>
      </c>
      <c r="L195" s="5">
        <v>50</v>
      </c>
      <c r="M195" s="5">
        <f>K195 * L195</f>
        <v>200</v>
      </c>
      <c r="N195" s="5">
        <f>M195 * $Q$4</f>
        <v>3</v>
      </c>
      <c r="O195" s="5">
        <f>M195* $Q$5</f>
        <v>4</v>
      </c>
    </row>
    <row r="196" spans="1:15">
      <c r="A196" s="2">
        <v>195</v>
      </c>
      <c r="B196" s="4">
        <f t="shared" si="9"/>
        <v>5</v>
      </c>
      <c r="C196" s="4">
        <f t="shared" si="10"/>
        <v>2</v>
      </c>
      <c r="D196" s="4">
        <f t="shared" si="11"/>
        <v>2023</v>
      </c>
      <c r="E196" s="3">
        <v>44962</v>
      </c>
      <c r="F196" s="4" t="s">
        <v>221</v>
      </c>
      <c r="G196" s="4" t="s">
        <v>16</v>
      </c>
      <c r="H196" s="4" t="str" cm="1">
        <f t="array" ref="H196">_xlfn.IFS(I196&lt;30, "Young Adult", I196&gt;=50, "Senior", I196&gt;=30, "Adult")</f>
        <v>Senior</v>
      </c>
      <c r="I196" s="4">
        <v>52</v>
      </c>
      <c r="J196" s="4" t="s">
        <v>20</v>
      </c>
      <c r="K196" s="4">
        <v>1</v>
      </c>
      <c r="L196" s="5">
        <v>30</v>
      </c>
      <c r="M196" s="5">
        <f>K196 * L196</f>
        <v>30</v>
      </c>
      <c r="N196" s="5">
        <f>M196 * $Q$4</f>
        <v>0.44999999999999996</v>
      </c>
      <c r="O196" s="5">
        <f>M196* $Q$5</f>
        <v>0.6</v>
      </c>
    </row>
    <row r="197" spans="1:15">
      <c r="A197" s="2">
        <v>196</v>
      </c>
      <c r="B197" s="4">
        <f t="shared" si="9"/>
        <v>30</v>
      </c>
      <c r="C197" s="4">
        <f t="shared" si="10"/>
        <v>9</v>
      </c>
      <c r="D197" s="4">
        <f t="shared" si="11"/>
        <v>2023</v>
      </c>
      <c r="E197" s="3">
        <v>45199</v>
      </c>
      <c r="F197" s="4" t="s">
        <v>222</v>
      </c>
      <c r="G197" s="4" t="s">
        <v>19</v>
      </c>
      <c r="H197" s="4" t="str" cm="1">
        <f t="array" ref="H197">_xlfn.IFS(I197&lt;30, "Young Adult", I197&gt;=50, "Senior", I197&gt;=30, "Adult")</f>
        <v>Adult</v>
      </c>
      <c r="I197" s="4">
        <v>32</v>
      </c>
      <c r="J197" s="4" t="s">
        <v>20</v>
      </c>
      <c r="K197" s="4">
        <v>3</v>
      </c>
      <c r="L197" s="5">
        <v>300</v>
      </c>
      <c r="M197" s="5">
        <f>K197 * L197</f>
        <v>900</v>
      </c>
      <c r="N197" s="5">
        <f>M197 * $Q$4</f>
        <v>13.5</v>
      </c>
      <c r="O197" s="5">
        <f>M197* $Q$5</f>
        <v>18</v>
      </c>
    </row>
    <row r="198" spans="1:15">
      <c r="A198" s="2">
        <v>197</v>
      </c>
      <c r="B198" s="4">
        <f t="shared" si="9"/>
        <v>6</v>
      </c>
      <c r="C198" s="4">
        <f t="shared" si="10"/>
        <v>3</v>
      </c>
      <c r="D198" s="4">
        <f t="shared" si="11"/>
        <v>2023</v>
      </c>
      <c r="E198" s="3">
        <v>44991</v>
      </c>
      <c r="F198" s="4" t="s">
        <v>223</v>
      </c>
      <c r="G198" s="4" t="s">
        <v>19</v>
      </c>
      <c r="H198" s="4" t="str" cm="1">
        <f t="array" ref="H198">_xlfn.IFS(I198&lt;30, "Young Adult", I198&gt;=50, "Senior", I198&gt;=30, "Adult")</f>
        <v>Adult</v>
      </c>
      <c r="I198" s="4">
        <v>42</v>
      </c>
      <c r="J198" s="4" t="s">
        <v>20</v>
      </c>
      <c r="K198" s="4">
        <v>4</v>
      </c>
      <c r="L198" s="5">
        <v>50</v>
      </c>
      <c r="M198" s="5">
        <f>K198 * L198</f>
        <v>200</v>
      </c>
      <c r="N198" s="5">
        <f>M198 * $Q$4</f>
        <v>3</v>
      </c>
      <c r="O198" s="5">
        <f>M198* $Q$5</f>
        <v>4</v>
      </c>
    </row>
    <row r="199" spans="1:15">
      <c r="A199" s="2">
        <v>198</v>
      </c>
      <c r="B199" s="4">
        <f t="shared" si="9"/>
        <v>7</v>
      </c>
      <c r="C199" s="4">
        <f t="shared" si="10"/>
        <v>3</v>
      </c>
      <c r="D199" s="4">
        <f t="shared" si="11"/>
        <v>2023</v>
      </c>
      <c r="E199" s="3">
        <v>44992</v>
      </c>
      <c r="F199" s="4" t="s">
        <v>224</v>
      </c>
      <c r="G199" s="4" t="s">
        <v>19</v>
      </c>
      <c r="H199" s="4" t="str" cm="1">
        <f t="array" ref="H199">_xlfn.IFS(I199&lt;30, "Young Adult", I199&gt;=50, "Senior", I199&gt;=30, "Adult")</f>
        <v>Senior</v>
      </c>
      <c r="I199" s="4">
        <v>54</v>
      </c>
      <c r="J199" s="4" t="s">
        <v>17</v>
      </c>
      <c r="K199" s="4">
        <v>3</v>
      </c>
      <c r="L199" s="5">
        <v>300</v>
      </c>
      <c r="M199" s="5">
        <f>K199 * L199</f>
        <v>900</v>
      </c>
      <c r="N199" s="5">
        <f>M199 * $Q$4</f>
        <v>13.5</v>
      </c>
      <c r="O199" s="5">
        <f>M199* $Q$5</f>
        <v>18</v>
      </c>
    </row>
    <row r="200" spans="1:15">
      <c r="A200" s="2">
        <v>199</v>
      </c>
      <c r="B200" s="4">
        <f t="shared" si="9"/>
        <v>4</v>
      </c>
      <c r="C200" s="4">
        <f t="shared" si="10"/>
        <v>12</v>
      </c>
      <c r="D200" s="4">
        <f t="shared" si="11"/>
        <v>2023</v>
      </c>
      <c r="E200" s="3">
        <v>45264</v>
      </c>
      <c r="F200" s="4" t="s">
        <v>225</v>
      </c>
      <c r="G200" s="4" t="s">
        <v>16</v>
      </c>
      <c r="H200" s="4" t="str" cm="1">
        <f t="array" ref="H200">_xlfn.IFS(I200&lt;30, "Young Adult", I200&gt;=50, "Senior", I200&gt;=30, "Adult")</f>
        <v>Adult</v>
      </c>
      <c r="I200" s="4">
        <v>45</v>
      </c>
      <c r="J200" s="4" t="s">
        <v>17</v>
      </c>
      <c r="K200" s="4">
        <v>3</v>
      </c>
      <c r="L200" s="5">
        <v>500</v>
      </c>
      <c r="M200" s="5">
        <f>K200 * L200</f>
        <v>1500</v>
      </c>
      <c r="N200" s="5">
        <f>M200 * $Q$4</f>
        <v>22.5</v>
      </c>
      <c r="O200" s="5">
        <f>M200* $Q$5</f>
        <v>30</v>
      </c>
    </row>
    <row r="201" spans="1:15">
      <c r="A201" s="2">
        <v>200</v>
      </c>
      <c r="B201" s="4">
        <f t="shared" si="9"/>
        <v>1</v>
      </c>
      <c r="C201" s="4">
        <f t="shared" si="10"/>
        <v>9</v>
      </c>
      <c r="D201" s="4">
        <f t="shared" si="11"/>
        <v>2023</v>
      </c>
      <c r="E201" s="3">
        <v>45170</v>
      </c>
      <c r="F201" s="4" t="s">
        <v>226</v>
      </c>
      <c r="G201" s="4" t="s">
        <v>16</v>
      </c>
      <c r="H201" s="4" t="str" cm="1">
        <f t="array" ref="H201">_xlfn.IFS(I201&lt;30, "Young Adult", I201&gt;=50, "Senior", I201&gt;=30, "Adult")</f>
        <v>Young Adult</v>
      </c>
      <c r="I201" s="4">
        <v>27</v>
      </c>
      <c r="J201" s="4" t="s">
        <v>17</v>
      </c>
      <c r="K201" s="4">
        <v>3</v>
      </c>
      <c r="L201" s="5">
        <v>50</v>
      </c>
      <c r="M201" s="5">
        <f>K201 * L201</f>
        <v>150</v>
      </c>
      <c r="N201" s="5">
        <f>M201 * $Q$4</f>
        <v>2.25</v>
      </c>
      <c r="O201" s="5">
        <f>M201* $Q$5</f>
        <v>3</v>
      </c>
    </row>
    <row r="202" spans="1:15">
      <c r="A202" s="2">
        <v>201</v>
      </c>
      <c r="B202" s="4">
        <f t="shared" si="9"/>
        <v>9</v>
      </c>
      <c r="C202" s="4">
        <f t="shared" si="10"/>
        <v>10</v>
      </c>
      <c r="D202" s="4">
        <f t="shared" si="11"/>
        <v>2023</v>
      </c>
      <c r="E202" s="3">
        <v>45208</v>
      </c>
      <c r="F202" s="4" t="s">
        <v>227</v>
      </c>
      <c r="G202" s="4" t="s">
        <v>16</v>
      </c>
      <c r="H202" s="4" t="str" cm="1">
        <f t="array" ref="H202">_xlfn.IFS(I202&lt;30, "Young Adult", I202&gt;=50, "Senior", I202&gt;=30, "Adult")</f>
        <v>Senior</v>
      </c>
      <c r="I202" s="4">
        <v>56</v>
      </c>
      <c r="J202" s="4" t="s">
        <v>24</v>
      </c>
      <c r="K202" s="4">
        <v>1</v>
      </c>
      <c r="L202" s="5">
        <v>25</v>
      </c>
      <c r="M202" s="5">
        <f>K202 * L202</f>
        <v>25</v>
      </c>
      <c r="N202" s="5">
        <f>M202 * $Q$4</f>
        <v>0.375</v>
      </c>
      <c r="O202" s="5">
        <f>M202* $Q$5</f>
        <v>0.5</v>
      </c>
    </row>
    <row r="203" spans="1:15">
      <c r="A203" s="2">
        <v>202</v>
      </c>
      <c r="B203" s="4">
        <f t="shared" si="9"/>
        <v>26</v>
      </c>
      <c r="C203" s="4">
        <f t="shared" si="10"/>
        <v>3</v>
      </c>
      <c r="D203" s="4">
        <f t="shared" si="11"/>
        <v>2023</v>
      </c>
      <c r="E203" s="3">
        <v>45011</v>
      </c>
      <c r="F203" s="4" t="s">
        <v>228</v>
      </c>
      <c r="G203" s="4" t="s">
        <v>19</v>
      </c>
      <c r="H203" s="4" t="str" cm="1">
        <f t="array" ref="H203">_xlfn.IFS(I203&lt;30, "Young Adult", I203&gt;=50, "Senior", I203&gt;=30, "Adult")</f>
        <v>Adult</v>
      </c>
      <c r="I203" s="4">
        <v>34</v>
      </c>
      <c r="J203" s="4" t="s">
        <v>20</v>
      </c>
      <c r="K203" s="4">
        <v>4</v>
      </c>
      <c r="L203" s="5">
        <v>300</v>
      </c>
      <c r="M203" s="5">
        <f>K203 * L203</f>
        <v>1200</v>
      </c>
      <c r="N203" s="5">
        <f>M203 * $Q$4</f>
        <v>18</v>
      </c>
      <c r="O203" s="5">
        <f>M203* $Q$5</f>
        <v>24</v>
      </c>
    </row>
    <row r="204" spans="1:15">
      <c r="A204" s="2">
        <v>203</v>
      </c>
      <c r="B204" s="4">
        <f t="shared" si="9"/>
        <v>16</v>
      </c>
      <c r="C204" s="4">
        <f t="shared" si="10"/>
        <v>5</v>
      </c>
      <c r="D204" s="4">
        <f t="shared" si="11"/>
        <v>2023</v>
      </c>
      <c r="E204" s="3">
        <v>45062</v>
      </c>
      <c r="F204" s="4" t="s">
        <v>229</v>
      </c>
      <c r="G204" s="4" t="s">
        <v>16</v>
      </c>
      <c r="H204" s="4" t="str" cm="1">
        <f t="array" ref="H204">_xlfn.IFS(I204&lt;30, "Young Adult", I204&gt;=50, "Senior", I204&gt;=30, "Adult")</f>
        <v>Senior</v>
      </c>
      <c r="I204" s="4">
        <v>56</v>
      </c>
      <c r="J204" s="4" t="s">
        <v>20</v>
      </c>
      <c r="K204" s="4">
        <v>2</v>
      </c>
      <c r="L204" s="5">
        <v>500</v>
      </c>
      <c r="M204" s="5">
        <f>K204 * L204</f>
        <v>1000</v>
      </c>
      <c r="N204" s="5">
        <f>M204 * $Q$4</f>
        <v>15</v>
      </c>
      <c r="O204" s="5">
        <f>M204* $Q$5</f>
        <v>20</v>
      </c>
    </row>
    <row r="205" spans="1:15">
      <c r="A205" s="2">
        <v>204</v>
      </c>
      <c r="B205" s="4">
        <f t="shared" si="9"/>
        <v>28</v>
      </c>
      <c r="C205" s="4">
        <f t="shared" si="10"/>
        <v>9</v>
      </c>
      <c r="D205" s="4">
        <f t="shared" si="11"/>
        <v>2023</v>
      </c>
      <c r="E205" s="3">
        <v>45197</v>
      </c>
      <c r="F205" s="4" t="s">
        <v>230</v>
      </c>
      <c r="G205" s="4" t="s">
        <v>16</v>
      </c>
      <c r="H205" s="4" t="str" cm="1">
        <f t="array" ref="H205">_xlfn.IFS(I205&lt;30, "Young Adult", I205&gt;=50, "Senior", I205&gt;=30, "Adult")</f>
        <v>Adult</v>
      </c>
      <c r="I205" s="4">
        <v>39</v>
      </c>
      <c r="J205" s="4" t="s">
        <v>17</v>
      </c>
      <c r="K205" s="4">
        <v>1</v>
      </c>
      <c r="L205" s="5">
        <v>25</v>
      </c>
      <c r="M205" s="5">
        <f>K205 * L205</f>
        <v>25</v>
      </c>
      <c r="N205" s="5">
        <f>M205 * $Q$4</f>
        <v>0.375</v>
      </c>
      <c r="O205" s="5">
        <f>M205* $Q$5</f>
        <v>0.5</v>
      </c>
    </row>
    <row r="206" spans="1:15">
      <c r="A206" s="2">
        <v>205</v>
      </c>
      <c r="B206" s="4">
        <f t="shared" si="9"/>
        <v>7</v>
      </c>
      <c r="C206" s="4">
        <f t="shared" si="10"/>
        <v>11</v>
      </c>
      <c r="D206" s="4">
        <f t="shared" si="11"/>
        <v>2023</v>
      </c>
      <c r="E206" s="3">
        <v>45237</v>
      </c>
      <c r="F206" s="4" t="s">
        <v>231</v>
      </c>
      <c r="G206" s="4" t="s">
        <v>19</v>
      </c>
      <c r="H206" s="4" t="str" cm="1">
        <f t="array" ref="H206">_xlfn.IFS(I206&lt;30, "Young Adult", I206&gt;=50, "Senior", I206&gt;=30, "Adult")</f>
        <v>Adult</v>
      </c>
      <c r="I206" s="4">
        <v>43</v>
      </c>
      <c r="J206" s="4" t="s">
        <v>20</v>
      </c>
      <c r="K206" s="4">
        <v>1</v>
      </c>
      <c r="L206" s="5">
        <v>25</v>
      </c>
      <c r="M206" s="5">
        <f>K206 * L206</f>
        <v>25</v>
      </c>
      <c r="N206" s="5">
        <f>M206 * $Q$4</f>
        <v>0.375</v>
      </c>
      <c r="O206" s="5">
        <f>M206* $Q$5</f>
        <v>0.5</v>
      </c>
    </row>
    <row r="207" spans="1:15">
      <c r="A207" s="2">
        <v>206</v>
      </c>
      <c r="B207" s="4">
        <f t="shared" si="9"/>
        <v>5</v>
      </c>
      <c r="C207" s="4">
        <f t="shared" si="10"/>
        <v>8</v>
      </c>
      <c r="D207" s="4">
        <f t="shared" si="11"/>
        <v>2023</v>
      </c>
      <c r="E207" s="3">
        <v>45143</v>
      </c>
      <c r="F207" s="4" t="s">
        <v>232</v>
      </c>
      <c r="G207" s="4" t="s">
        <v>16</v>
      </c>
      <c r="H207" s="4" t="str" cm="1">
        <f t="array" ref="H207">_xlfn.IFS(I207&lt;30, "Young Adult", I207&gt;=50, "Senior", I207&gt;=30, "Adult")</f>
        <v>Senior</v>
      </c>
      <c r="I207" s="4">
        <v>61</v>
      </c>
      <c r="J207" s="4" t="s">
        <v>20</v>
      </c>
      <c r="K207" s="4">
        <v>1</v>
      </c>
      <c r="L207" s="5">
        <v>25</v>
      </c>
      <c r="M207" s="5">
        <f>K207 * L207</f>
        <v>25</v>
      </c>
      <c r="N207" s="5">
        <f>M207 * $Q$4</f>
        <v>0.375</v>
      </c>
      <c r="O207" s="5">
        <f>M207* $Q$5</f>
        <v>0.5</v>
      </c>
    </row>
    <row r="208" spans="1:15">
      <c r="A208" s="2">
        <v>207</v>
      </c>
      <c r="B208" s="4">
        <f t="shared" si="9"/>
        <v>19</v>
      </c>
      <c r="C208" s="4">
        <f t="shared" si="10"/>
        <v>4</v>
      </c>
      <c r="D208" s="4">
        <f t="shared" si="11"/>
        <v>2023</v>
      </c>
      <c r="E208" s="3">
        <v>45035</v>
      </c>
      <c r="F208" s="4" t="s">
        <v>233</v>
      </c>
      <c r="G208" s="4" t="s">
        <v>19</v>
      </c>
      <c r="H208" s="4" t="str" cm="1">
        <f t="array" ref="H208">_xlfn.IFS(I208&lt;30, "Young Adult", I208&gt;=50, "Senior", I208&gt;=30, "Adult")</f>
        <v>Adult</v>
      </c>
      <c r="I208" s="4">
        <v>42</v>
      </c>
      <c r="J208" s="4" t="s">
        <v>17</v>
      </c>
      <c r="K208" s="4">
        <v>2</v>
      </c>
      <c r="L208" s="5">
        <v>25</v>
      </c>
      <c r="M208" s="5">
        <f>K208 * L208</f>
        <v>50</v>
      </c>
      <c r="N208" s="5">
        <f>M208 * $Q$4</f>
        <v>0.75</v>
      </c>
      <c r="O208" s="5">
        <f>M208* $Q$5</f>
        <v>1</v>
      </c>
    </row>
    <row r="209" spans="1:15">
      <c r="A209" s="2">
        <v>208</v>
      </c>
      <c r="B209" s="4">
        <f t="shared" si="9"/>
        <v>4</v>
      </c>
      <c r="C209" s="4">
        <f t="shared" si="10"/>
        <v>10</v>
      </c>
      <c r="D209" s="4">
        <f t="shared" si="11"/>
        <v>2023</v>
      </c>
      <c r="E209" s="3">
        <v>45203</v>
      </c>
      <c r="F209" s="4" t="s">
        <v>234</v>
      </c>
      <c r="G209" s="4" t="s">
        <v>19</v>
      </c>
      <c r="H209" s="4" t="str" cm="1">
        <f t="array" ref="H209">_xlfn.IFS(I209&lt;30, "Young Adult", I209&gt;=50, "Senior", I209&gt;=30, "Adult")</f>
        <v>Adult</v>
      </c>
      <c r="I209" s="4">
        <v>34</v>
      </c>
      <c r="J209" s="4" t="s">
        <v>24</v>
      </c>
      <c r="K209" s="4">
        <v>4</v>
      </c>
      <c r="L209" s="5">
        <v>50</v>
      </c>
      <c r="M209" s="5">
        <f>K209 * L209</f>
        <v>200</v>
      </c>
      <c r="N209" s="5">
        <f>M209 * $Q$4</f>
        <v>3</v>
      </c>
      <c r="O209" s="5">
        <f>M209* $Q$5</f>
        <v>4</v>
      </c>
    </row>
    <row r="210" spans="1:15">
      <c r="A210" s="2">
        <v>209</v>
      </c>
      <c r="B210" s="4">
        <f t="shared" si="9"/>
        <v>20</v>
      </c>
      <c r="C210" s="4">
        <f t="shared" si="10"/>
        <v>12</v>
      </c>
      <c r="D210" s="4">
        <f t="shared" si="11"/>
        <v>2023</v>
      </c>
      <c r="E210" s="3">
        <v>45280</v>
      </c>
      <c r="F210" s="4" t="s">
        <v>235</v>
      </c>
      <c r="G210" s="4" t="s">
        <v>19</v>
      </c>
      <c r="H210" s="4" t="str" cm="1">
        <f t="array" ref="H210">_xlfn.IFS(I210&lt;30, "Young Adult", I210&gt;=50, "Senior", I210&gt;=30, "Adult")</f>
        <v>Adult</v>
      </c>
      <c r="I210" s="4">
        <v>30</v>
      </c>
      <c r="J210" s="4" t="s">
        <v>24</v>
      </c>
      <c r="K210" s="4">
        <v>4</v>
      </c>
      <c r="L210" s="5">
        <v>50</v>
      </c>
      <c r="M210" s="5">
        <f>K210 * L210</f>
        <v>200</v>
      </c>
      <c r="N210" s="5">
        <f>M210 * $Q$4</f>
        <v>3</v>
      </c>
      <c r="O210" s="5">
        <f>M210* $Q$5</f>
        <v>4</v>
      </c>
    </row>
    <row r="211" spans="1:15">
      <c r="A211" s="2">
        <v>210</v>
      </c>
      <c r="B211" s="4">
        <f t="shared" si="9"/>
        <v>13</v>
      </c>
      <c r="C211" s="4">
        <f t="shared" si="10"/>
        <v>4</v>
      </c>
      <c r="D211" s="4">
        <f t="shared" si="11"/>
        <v>2023</v>
      </c>
      <c r="E211" s="3">
        <v>45029</v>
      </c>
      <c r="F211" s="4" t="s">
        <v>236</v>
      </c>
      <c r="G211" s="4" t="s">
        <v>16</v>
      </c>
      <c r="H211" s="4" t="str" cm="1">
        <f t="array" ref="H211">_xlfn.IFS(I211&lt;30, "Young Adult", I211&gt;=50, "Senior", I211&gt;=30, "Adult")</f>
        <v>Adult</v>
      </c>
      <c r="I211" s="4">
        <v>37</v>
      </c>
      <c r="J211" s="4" t="s">
        <v>24</v>
      </c>
      <c r="K211" s="4">
        <v>4</v>
      </c>
      <c r="L211" s="5">
        <v>50</v>
      </c>
      <c r="M211" s="5">
        <f>K211 * L211</f>
        <v>200</v>
      </c>
      <c r="N211" s="5">
        <f>M211 * $Q$4</f>
        <v>3</v>
      </c>
      <c r="O211" s="5">
        <f>M211* $Q$5</f>
        <v>4</v>
      </c>
    </row>
    <row r="212" spans="1:15">
      <c r="A212" s="2">
        <v>211</v>
      </c>
      <c r="B212" s="4">
        <f t="shared" si="9"/>
        <v>1</v>
      </c>
      <c r="C212" s="4">
        <f t="shared" si="10"/>
        <v>1</v>
      </c>
      <c r="D212" s="4">
        <f t="shared" si="11"/>
        <v>2024</v>
      </c>
      <c r="E212" s="3">
        <v>45292</v>
      </c>
      <c r="F212" s="4" t="s">
        <v>237</v>
      </c>
      <c r="G212" s="4" t="s">
        <v>16</v>
      </c>
      <c r="H212" s="4" t="str" cm="1">
        <f t="array" ref="H212">_xlfn.IFS(I212&lt;30, "Young Adult", I212&gt;=50, "Senior", I212&gt;=30, "Adult")</f>
        <v>Adult</v>
      </c>
      <c r="I212" s="4">
        <v>42</v>
      </c>
      <c r="J212" s="4" t="s">
        <v>17</v>
      </c>
      <c r="K212" s="4">
        <v>3</v>
      </c>
      <c r="L212" s="5">
        <v>500</v>
      </c>
      <c r="M212" s="5">
        <f>K212 * L212</f>
        <v>1500</v>
      </c>
      <c r="N212" s="5">
        <f>M212 * $Q$4</f>
        <v>22.5</v>
      </c>
      <c r="O212" s="5">
        <f>M212* $Q$5</f>
        <v>30</v>
      </c>
    </row>
    <row r="213" spans="1:15">
      <c r="A213" s="2">
        <v>212</v>
      </c>
      <c r="B213" s="4">
        <f t="shared" si="9"/>
        <v>9</v>
      </c>
      <c r="C213" s="4">
        <f t="shared" si="10"/>
        <v>6</v>
      </c>
      <c r="D213" s="4">
        <f t="shared" si="11"/>
        <v>2023</v>
      </c>
      <c r="E213" s="3">
        <v>45086</v>
      </c>
      <c r="F213" s="4" t="s">
        <v>238</v>
      </c>
      <c r="G213" s="4" t="s">
        <v>16</v>
      </c>
      <c r="H213" s="4" t="str" cm="1">
        <f t="array" ref="H213">_xlfn.IFS(I213&lt;30, "Young Adult", I213&gt;=50, "Senior", I213&gt;=30, "Adult")</f>
        <v>Young Adult</v>
      </c>
      <c r="I213" s="4">
        <v>21</v>
      </c>
      <c r="J213" s="4" t="s">
        <v>20</v>
      </c>
      <c r="K213" s="4">
        <v>3</v>
      </c>
      <c r="L213" s="5">
        <v>500</v>
      </c>
      <c r="M213" s="5">
        <f>K213 * L213</f>
        <v>1500</v>
      </c>
      <c r="N213" s="5">
        <f>M213 * $Q$4</f>
        <v>22.5</v>
      </c>
      <c r="O213" s="5">
        <f>M213* $Q$5</f>
        <v>30</v>
      </c>
    </row>
    <row r="214" spans="1:15">
      <c r="A214" s="2">
        <v>213</v>
      </c>
      <c r="B214" s="4">
        <f t="shared" si="9"/>
        <v>24</v>
      </c>
      <c r="C214" s="4">
        <f t="shared" si="10"/>
        <v>7</v>
      </c>
      <c r="D214" s="4">
        <f t="shared" si="11"/>
        <v>2023</v>
      </c>
      <c r="E214" s="3">
        <v>45131</v>
      </c>
      <c r="F214" s="4" t="s">
        <v>239</v>
      </c>
      <c r="G214" s="4" t="s">
        <v>16</v>
      </c>
      <c r="H214" s="4" t="str" cm="1">
        <f t="array" ref="H214">_xlfn.IFS(I214&lt;30, "Young Adult", I214&gt;=50, "Senior", I214&gt;=30, "Adult")</f>
        <v>Young Adult</v>
      </c>
      <c r="I214" s="4">
        <v>27</v>
      </c>
      <c r="J214" s="4" t="s">
        <v>17</v>
      </c>
      <c r="K214" s="4">
        <v>3</v>
      </c>
      <c r="L214" s="5">
        <v>500</v>
      </c>
      <c r="M214" s="5">
        <f>K214 * L214</f>
        <v>1500</v>
      </c>
      <c r="N214" s="5">
        <f>M214 * $Q$4</f>
        <v>22.5</v>
      </c>
      <c r="O214" s="5">
        <f>M214* $Q$5</f>
        <v>30</v>
      </c>
    </row>
    <row r="215" spans="1:15">
      <c r="A215" s="2">
        <v>214</v>
      </c>
      <c r="B215" s="4">
        <f t="shared" si="9"/>
        <v>10</v>
      </c>
      <c r="C215" s="4">
        <f t="shared" si="10"/>
        <v>12</v>
      </c>
      <c r="D215" s="4">
        <f t="shared" si="11"/>
        <v>2023</v>
      </c>
      <c r="E215" s="3">
        <v>45270</v>
      </c>
      <c r="F215" s="4" t="s">
        <v>240</v>
      </c>
      <c r="G215" s="4" t="s">
        <v>16</v>
      </c>
      <c r="H215" s="4" t="str" cm="1">
        <f t="array" ref="H215">_xlfn.IFS(I215&lt;30, "Young Adult", I215&gt;=50, "Senior", I215&gt;=30, "Adult")</f>
        <v>Young Adult</v>
      </c>
      <c r="J215" s="4" t="s">
        <v>17</v>
      </c>
      <c r="K215" s="4">
        <v>2</v>
      </c>
      <c r="L215" s="5">
        <v>30</v>
      </c>
      <c r="M215" s="5">
        <f>K215 * L215</f>
        <v>60</v>
      </c>
      <c r="N215" s="5">
        <f>M215 * $Q$4</f>
        <v>0.89999999999999991</v>
      </c>
      <c r="O215" s="5">
        <f>M215* $Q$5</f>
        <v>1.2</v>
      </c>
    </row>
    <row r="216" spans="1:15">
      <c r="A216" s="2">
        <v>215</v>
      </c>
      <c r="B216" s="4">
        <f t="shared" si="9"/>
        <v>29</v>
      </c>
      <c r="C216" s="4">
        <f t="shared" si="10"/>
        <v>11</v>
      </c>
      <c r="D216" s="4">
        <f t="shared" si="11"/>
        <v>2023</v>
      </c>
      <c r="E216" s="3">
        <v>45259</v>
      </c>
      <c r="F216" s="4" t="s">
        <v>241</v>
      </c>
      <c r="G216" s="4" t="s">
        <v>16</v>
      </c>
      <c r="H216" s="4" t="str" cm="1">
        <f t="array" ref="H216">_xlfn.IFS(I216&lt;30, "Young Adult", I216&gt;=50, "Senior", I216&gt;=30, "Adult")</f>
        <v>Senior</v>
      </c>
      <c r="I216" s="4">
        <v>58</v>
      </c>
      <c r="J216" s="4" t="s">
        <v>20</v>
      </c>
      <c r="K216" s="4">
        <v>3</v>
      </c>
      <c r="L216" s="5">
        <v>500</v>
      </c>
      <c r="M216" s="5">
        <f>K216 * L216</f>
        <v>1500</v>
      </c>
      <c r="N216" s="5">
        <f>M216 * $Q$4</f>
        <v>22.5</v>
      </c>
      <c r="O216" s="5">
        <f>M216* $Q$5</f>
        <v>30</v>
      </c>
    </row>
    <row r="217" spans="1:15">
      <c r="A217" s="2">
        <v>216</v>
      </c>
      <c r="B217" s="4">
        <f t="shared" si="9"/>
        <v>11</v>
      </c>
      <c r="C217" s="4">
        <f t="shared" si="10"/>
        <v>7</v>
      </c>
      <c r="D217" s="4">
        <f t="shared" si="11"/>
        <v>2023</v>
      </c>
      <c r="E217" s="3">
        <v>45118</v>
      </c>
      <c r="F217" s="4" t="s">
        <v>242</v>
      </c>
      <c r="G217" s="4" t="s">
        <v>16</v>
      </c>
      <c r="H217" s="4" t="str" cm="1">
        <f t="array" ref="H217">_xlfn.IFS(I217&lt;30, "Young Adult", I217&gt;=50, "Senior", I217&gt;=30, "Adult")</f>
        <v>Senior</v>
      </c>
      <c r="I217" s="4">
        <v>62</v>
      </c>
      <c r="J217" s="4" t="s">
        <v>24</v>
      </c>
      <c r="K217" s="4">
        <v>2</v>
      </c>
      <c r="L217" s="5">
        <v>50</v>
      </c>
      <c r="M217" s="5">
        <f>K217 * L217</f>
        <v>100</v>
      </c>
      <c r="N217" s="5">
        <f>M217 * $Q$4</f>
        <v>1.5</v>
      </c>
      <c r="O217" s="5">
        <f>M217* $Q$5</f>
        <v>2</v>
      </c>
    </row>
    <row r="218" spans="1:15">
      <c r="A218" s="2">
        <v>217</v>
      </c>
      <c r="B218" s="4">
        <f t="shared" si="9"/>
        <v>13</v>
      </c>
      <c r="C218" s="4">
        <f t="shared" si="10"/>
        <v>8</v>
      </c>
      <c r="D218" s="4">
        <f t="shared" si="11"/>
        <v>2023</v>
      </c>
      <c r="E218" s="3">
        <v>45151</v>
      </c>
      <c r="F218" s="4" t="s">
        <v>243</v>
      </c>
      <c r="G218" s="4" t="s">
        <v>19</v>
      </c>
      <c r="H218" s="4" t="str" cm="1">
        <f t="array" ref="H218">_xlfn.IFS(I218&lt;30, "Young Adult", I218&gt;=50, "Senior", I218&gt;=30, "Adult")</f>
        <v>Adult</v>
      </c>
      <c r="I218" s="4">
        <v>35</v>
      </c>
      <c r="J218" s="4" t="s">
        <v>24</v>
      </c>
      <c r="K218" s="4">
        <v>4</v>
      </c>
      <c r="L218" s="5">
        <v>50</v>
      </c>
      <c r="M218" s="5">
        <f>K218 * L218</f>
        <v>200</v>
      </c>
      <c r="N218" s="5">
        <f>M218 * $Q$4</f>
        <v>3</v>
      </c>
      <c r="O218" s="5">
        <f>M218* $Q$5</f>
        <v>4</v>
      </c>
    </row>
    <row r="219" spans="1:15">
      <c r="A219" s="2">
        <v>218</v>
      </c>
      <c r="B219" s="4">
        <f t="shared" si="9"/>
        <v>22</v>
      </c>
      <c r="C219" s="4">
        <f t="shared" si="10"/>
        <v>9</v>
      </c>
      <c r="D219" s="4">
        <f t="shared" si="11"/>
        <v>2023</v>
      </c>
      <c r="E219" s="3">
        <v>45191</v>
      </c>
      <c r="F219" s="4" t="s">
        <v>244</v>
      </c>
      <c r="G219" s="4" t="s">
        <v>16</v>
      </c>
      <c r="H219" s="4" t="str" cm="1">
        <f t="array" ref="H219">_xlfn.IFS(I219&lt;30, "Young Adult", I219&gt;=50, "Senior", I219&gt;=30, "Adult")</f>
        <v>Senior</v>
      </c>
      <c r="I219" s="4">
        <v>64</v>
      </c>
      <c r="J219" s="4" t="s">
        <v>17</v>
      </c>
      <c r="K219" s="4">
        <v>3</v>
      </c>
      <c r="L219" s="5">
        <v>30</v>
      </c>
      <c r="M219" s="5">
        <f>K219 * L219</f>
        <v>90</v>
      </c>
      <c r="N219" s="5">
        <f>M219 * $Q$4</f>
        <v>1.3499999999999999</v>
      </c>
      <c r="O219" s="5">
        <f>M219* $Q$5</f>
        <v>1.8</v>
      </c>
    </row>
    <row r="220" spans="1:15">
      <c r="A220" s="2">
        <v>219</v>
      </c>
      <c r="B220" s="4">
        <f t="shared" si="9"/>
        <v>20</v>
      </c>
      <c r="C220" s="4">
        <f t="shared" si="10"/>
        <v>8</v>
      </c>
      <c r="D220" s="4">
        <f t="shared" si="11"/>
        <v>2023</v>
      </c>
      <c r="E220" s="3">
        <v>45158</v>
      </c>
      <c r="F220" s="4" t="s">
        <v>245</v>
      </c>
      <c r="G220" s="4" t="s">
        <v>19</v>
      </c>
      <c r="H220" s="4" t="str" cm="1">
        <f t="array" ref="H220">_xlfn.IFS(I220&lt;30, "Young Adult", I220&gt;=50, "Senior", I220&gt;=30, "Adult")</f>
        <v>Senior</v>
      </c>
      <c r="I220" s="4">
        <v>53</v>
      </c>
      <c r="J220" s="4" t="s">
        <v>24</v>
      </c>
      <c r="K220" s="4">
        <v>3</v>
      </c>
      <c r="L220" s="5">
        <v>30</v>
      </c>
      <c r="M220" s="5">
        <f>K220 * L220</f>
        <v>90</v>
      </c>
      <c r="N220" s="5">
        <f>M220 * $Q$4</f>
        <v>1.3499999999999999</v>
      </c>
      <c r="O220" s="5">
        <f>M220* $Q$5</f>
        <v>1.8</v>
      </c>
    </row>
    <row r="221" spans="1:15">
      <c r="A221" s="2">
        <v>220</v>
      </c>
      <c r="B221" s="4">
        <f t="shared" si="9"/>
        <v>3</v>
      </c>
      <c r="C221" s="4">
        <f t="shared" si="10"/>
        <v>3</v>
      </c>
      <c r="D221" s="4">
        <f t="shared" si="11"/>
        <v>2023</v>
      </c>
      <c r="E221" s="3">
        <v>44988</v>
      </c>
      <c r="F221" s="4" t="s">
        <v>246</v>
      </c>
      <c r="G221" s="4" t="s">
        <v>16</v>
      </c>
      <c r="H221" s="4" t="str" cm="1">
        <f t="array" ref="H221">_xlfn.IFS(I221&lt;30, "Young Adult", I221&gt;=50, "Senior", I221&gt;=30, "Adult")</f>
        <v>Senior</v>
      </c>
      <c r="I221" s="4">
        <v>64</v>
      </c>
      <c r="J221" s="4" t="s">
        <v>17</v>
      </c>
      <c r="K221" s="4">
        <v>1</v>
      </c>
      <c r="L221" s="5">
        <v>500</v>
      </c>
      <c r="M221" s="5">
        <f>K221 * L221</f>
        <v>500</v>
      </c>
      <c r="N221" s="5">
        <f>M221 * $Q$4</f>
        <v>7.5</v>
      </c>
      <c r="O221" s="5">
        <f>M221* $Q$5</f>
        <v>10</v>
      </c>
    </row>
    <row r="222" spans="1:15">
      <c r="A222" s="2">
        <v>221</v>
      </c>
      <c r="B222" s="4">
        <f t="shared" si="9"/>
        <v>7</v>
      </c>
      <c r="C222" s="4">
        <f t="shared" si="10"/>
        <v>5</v>
      </c>
      <c r="D222" s="4">
        <f t="shared" si="11"/>
        <v>2023</v>
      </c>
      <c r="E222" s="3">
        <v>45053</v>
      </c>
      <c r="F222" s="4" t="s">
        <v>247</v>
      </c>
      <c r="G222" s="4" t="s">
        <v>16</v>
      </c>
      <c r="H222" s="4" t="str" cm="1">
        <f t="array" ref="H222">_xlfn.IFS(I222&lt;30, "Young Adult", I222&gt;=50, "Senior", I222&gt;=30, "Adult")</f>
        <v>Adult</v>
      </c>
      <c r="I222" s="4">
        <v>39</v>
      </c>
      <c r="J222" s="4" t="s">
        <v>17</v>
      </c>
      <c r="K222" s="4">
        <v>2</v>
      </c>
      <c r="L222" s="5">
        <v>300</v>
      </c>
      <c r="M222" s="5">
        <f>K222 * L222</f>
        <v>600</v>
      </c>
      <c r="N222" s="5">
        <f>M222 * $Q$4</f>
        <v>9</v>
      </c>
      <c r="O222" s="5">
        <f>M222* $Q$5</f>
        <v>12</v>
      </c>
    </row>
    <row r="223" spans="1:15">
      <c r="A223" s="2">
        <v>222</v>
      </c>
      <c r="B223" s="4">
        <f t="shared" si="9"/>
        <v>26</v>
      </c>
      <c r="C223" s="4">
        <f t="shared" si="10"/>
        <v>4</v>
      </c>
      <c r="D223" s="4">
        <f t="shared" si="11"/>
        <v>2023</v>
      </c>
      <c r="E223" s="3">
        <v>45042</v>
      </c>
      <c r="F223" s="4" t="s">
        <v>248</v>
      </c>
      <c r="G223" s="4" t="s">
        <v>16</v>
      </c>
      <c r="H223" s="4" t="str" cm="1">
        <f t="array" ref="H223">_xlfn.IFS(I223&lt;30, "Young Adult", I223&gt;=50, "Senior", I223&gt;=30, "Adult")</f>
        <v>Senior</v>
      </c>
      <c r="I223" s="4">
        <v>51</v>
      </c>
      <c r="J223" s="4" t="s">
        <v>20</v>
      </c>
      <c r="K223" s="4">
        <v>4</v>
      </c>
      <c r="L223" s="5">
        <v>30</v>
      </c>
      <c r="M223" s="5">
        <f>K223 * L223</f>
        <v>120</v>
      </c>
      <c r="N223" s="5">
        <f>M223 * $Q$4</f>
        <v>1.7999999999999998</v>
      </c>
      <c r="O223" s="5">
        <f>M223* $Q$5</f>
        <v>2.4</v>
      </c>
    </row>
    <row r="224" spans="1:15">
      <c r="A224" s="2">
        <v>223</v>
      </c>
      <c r="B224" s="4">
        <f t="shared" si="9"/>
        <v>2</v>
      </c>
      <c r="C224" s="4">
        <f t="shared" si="10"/>
        <v>2</v>
      </c>
      <c r="D224" s="4">
        <f t="shared" si="11"/>
        <v>2023</v>
      </c>
      <c r="E224" s="3">
        <v>44959</v>
      </c>
      <c r="F224" s="4" t="s">
        <v>249</v>
      </c>
      <c r="G224" s="4" t="s">
        <v>19</v>
      </c>
      <c r="H224" s="4" t="str" cm="1">
        <f t="array" ref="H224">_xlfn.IFS(I224&lt;30, "Young Adult", I224&gt;=50, "Senior", I224&gt;=30, "Adult")</f>
        <v>Senior</v>
      </c>
      <c r="I224" s="4">
        <v>64</v>
      </c>
      <c r="J224" s="4" t="s">
        <v>20</v>
      </c>
      <c r="K224" s="4">
        <v>1</v>
      </c>
      <c r="L224" s="5">
        <v>25</v>
      </c>
      <c r="M224" s="5">
        <f>K224 * L224</f>
        <v>25</v>
      </c>
      <c r="N224" s="5">
        <f>M224 * $Q$4</f>
        <v>0.375</v>
      </c>
      <c r="O224" s="5">
        <f>M224* $Q$5</f>
        <v>0.5</v>
      </c>
    </row>
    <row r="225" spans="1:15">
      <c r="A225" s="2">
        <v>224</v>
      </c>
      <c r="B225" s="4">
        <f t="shared" si="9"/>
        <v>23</v>
      </c>
      <c r="C225" s="4">
        <f t="shared" si="10"/>
        <v>6</v>
      </c>
      <c r="D225" s="4">
        <f t="shared" si="11"/>
        <v>2023</v>
      </c>
      <c r="E225" s="3">
        <v>45100</v>
      </c>
      <c r="F225" s="4" t="s">
        <v>250</v>
      </c>
      <c r="G225" s="4" t="s">
        <v>19</v>
      </c>
      <c r="H225" s="4" t="str" cm="1">
        <f t="array" ref="H225">_xlfn.IFS(I225&lt;30, "Young Adult", I225&gt;=50, "Senior", I225&gt;=30, "Adult")</f>
        <v>Young Adult</v>
      </c>
      <c r="I225" s="4">
        <v>25</v>
      </c>
      <c r="J225" s="4" t="s">
        <v>20</v>
      </c>
      <c r="K225" s="4">
        <v>1</v>
      </c>
      <c r="L225" s="5">
        <v>50</v>
      </c>
      <c r="M225" s="5">
        <f>K225 * L225</f>
        <v>50</v>
      </c>
      <c r="N225" s="5">
        <f>M225 * $Q$4</f>
        <v>0.75</v>
      </c>
      <c r="O225" s="5">
        <f>M225* $Q$5</f>
        <v>1</v>
      </c>
    </row>
    <row r="226" spans="1:15">
      <c r="A226" s="2">
        <v>225</v>
      </c>
      <c r="B226" s="4">
        <f t="shared" si="9"/>
        <v>11</v>
      </c>
      <c r="C226" s="4">
        <f t="shared" si="10"/>
        <v>1</v>
      </c>
      <c r="D226" s="4">
        <f t="shared" si="11"/>
        <v>2023</v>
      </c>
      <c r="E226" s="3">
        <v>44937</v>
      </c>
      <c r="F226" s="4" t="s">
        <v>251</v>
      </c>
      <c r="G226" s="4" t="s">
        <v>19</v>
      </c>
      <c r="H226" s="4" t="str" cm="1">
        <f t="array" ref="H226">_xlfn.IFS(I226&lt;30, "Young Adult", I226&gt;=50, "Senior", I226&gt;=30, "Adult")</f>
        <v>Senior</v>
      </c>
      <c r="I226" s="4">
        <v>57</v>
      </c>
      <c r="J226" s="4" t="s">
        <v>17</v>
      </c>
      <c r="K226" s="4">
        <v>4</v>
      </c>
      <c r="L226" s="5">
        <v>25</v>
      </c>
      <c r="M226" s="5">
        <f>K226 * L226</f>
        <v>100</v>
      </c>
      <c r="N226" s="5">
        <f>M226 * $Q$4</f>
        <v>1.5</v>
      </c>
      <c r="O226" s="5">
        <f>M226* $Q$5</f>
        <v>2</v>
      </c>
    </row>
    <row r="227" spans="1:15">
      <c r="A227" s="2">
        <v>226</v>
      </c>
      <c r="B227" s="4">
        <f t="shared" si="9"/>
        <v>29</v>
      </c>
      <c r="C227" s="4">
        <f t="shared" si="10"/>
        <v>10</v>
      </c>
      <c r="D227" s="4">
        <f t="shared" si="11"/>
        <v>2023</v>
      </c>
      <c r="E227" s="3">
        <v>45228</v>
      </c>
      <c r="F227" s="4" t="s">
        <v>252</v>
      </c>
      <c r="G227" s="4" t="s">
        <v>19</v>
      </c>
      <c r="H227" s="4" t="str" cm="1">
        <f t="array" ref="H227">_xlfn.IFS(I227&lt;30, "Young Adult", I227&gt;=50, "Senior", I227&gt;=30, "Adult")</f>
        <v>Senior</v>
      </c>
      <c r="I227" s="4">
        <v>61</v>
      </c>
      <c r="J227" s="4" t="s">
        <v>20</v>
      </c>
      <c r="K227" s="4">
        <v>1</v>
      </c>
      <c r="L227" s="5">
        <v>50</v>
      </c>
      <c r="M227" s="5">
        <f>K227 * L227</f>
        <v>50</v>
      </c>
      <c r="N227" s="5">
        <f>M227 * $Q$4</f>
        <v>0.75</v>
      </c>
      <c r="O227" s="5">
        <f>M227* $Q$5</f>
        <v>1</v>
      </c>
    </row>
    <row r="228" spans="1:15">
      <c r="A228" s="2">
        <v>227</v>
      </c>
      <c r="B228" s="4">
        <f t="shared" si="9"/>
        <v>11</v>
      </c>
      <c r="C228" s="4">
        <f t="shared" si="10"/>
        <v>10</v>
      </c>
      <c r="D228" s="4">
        <f t="shared" si="11"/>
        <v>2023</v>
      </c>
      <c r="E228" s="3">
        <v>45210</v>
      </c>
      <c r="F228" s="4" t="s">
        <v>253</v>
      </c>
      <c r="G228" s="4" t="s">
        <v>16</v>
      </c>
      <c r="H228" s="4" t="str" cm="1">
        <f t="array" ref="H228">_xlfn.IFS(I228&lt;30, "Young Adult", I228&gt;=50, "Senior", I228&gt;=30, "Adult")</f>
        <v>Adult</v>
      </c>
      <c r="I228" s="4">
        <v>36</v>
      </c>
      <c r="J228" s="4" t="s">
        <v>24</v>
      </c>
      <c r="K228" s="4">
        <v>2</v>
      </c>
      <c r="L228" s="5">
        <v>50</v>
      </c>
      <c r="M228" s="5">
        <f>K228 * L228</f>
        <v>100</v>
      </c>
      <c r="N228" s="5">
        <f>M228 * $Q$4</f>
        <v>1.5</v>
      </c>
      <c r="O228" s="5">
        <f>M228* $Q$5</f>
        <v>2</v>
      </c>
    </row>
    <row r="229" spans="1:15">
      <c r="A229" s="2">
        <v>228</v>
      </c>
      <c r="B229" s="4">
        <f t="shared" si="9"/>
        <v>28</v>
      </c>
      <c r="C229" s="4">
        <f t="shared" si="10"/>
        <v>4</v>
      </c>
      <c r="D229" s="4">
        <f t="shared" si="11"/>
        <v>2023</v>
      </c>
      <c r="E229" s="3">
        <v>45044</v>
      </c>
      <c r="F229" s="4" t="s">
        <v>254</v>
      </c>
      <c r="G229" s="4" t="s">
        <v>19</v>
      </c>
      <c r="H229" s="4" t="str" cm="1">
        <f t="array" ref="H229">_xlfn.IFS(I229&lt;30, "Young Adult", I229&gt;=50, "Senior", I229&gt;=30, "Adult")</f>
        <v>Senior</v>
      </c>
      <c r="I229" s="4">
        <v>59</v>
      </c>
      <c r="J229" s="4" t="s">
        <v>24</v>
      </c>
      <c r="K229" s="4">
        <v>2</v>
      </c>
      <c r="L229" s="5">
        <v>30</v>
      </c>
      <c r="M229" s="5">
        <f>K229 * L229</f>
        <v>60</v>
      </c>
      <c r="N229" s="5">
        <f>M229 * $Q$4</f>
        <v>0.89999999999999991</v>
      </c>
      <c r="O229" s="5">
        <f>M229* $Q$5</f>
        <v>1.2</v>
      </c>
    </row>
    <row r="230" spans="1:15">
      <c r="A230" s="2">
        <v>229</v>
      </c>
      <c r="B230" s="4">
        <f t="shared" si="9"/>
        <v>29</v>
      </c>
      <c r="C230" s="4">
        <f t="shared" si="10"/>
        <v>10</v>
      </c>
      <c r="D230" s="4">
        <f t="shared" si="11"/>
        <v>2023</v>
      </c>
      <c r="E230" s="3">
        <v>45228</v>
      </c>
      <c r="F230" s="4" t="s">
        <v>255</v>
      </c>
      <c r="G230" s="4" t="s">
        <v>16</v>
      </c>
      <c r="H230" s="4" t="str" cm="1">
        <f t="array" ref="H230">_xlfn.IFS(I230&lt;30, "Young Adult", I230&gt;=50, "Senior", I230&gt;=30, "Adult")</f>
        <v>Senior</v>
      </c>
      <c r="I230" s="4">
        <v>58</v>
      </c>
      <c r="J230" s="4" t="s">
        <v>17</v>
      </c>
      <c r="K230" s="4">
        <v>3</v>
      </c>
      <c r="L230" s="5">
        <v>30</v>
      </c>
      <c r="M230" s="5">
        <f>K230 * L230</f>
        <v>90</v>
      </c>
      <c r="N230" s="5">
        <f>M230 * $Q$4</f>
        <v>1.3499999999999999</v>
      </c>
      <c r="O230" s="5">
        <f>M230* $Q$5</f>
        <v>1.8</v>
      </c>
    </row>
    <row r="231" spans="1:15">
      <c r="A231" s="2">
        <v>230</v>
      </c>
      <c r="B231" s="4">
        <f t="shared" si="9"/>
        <v>23</v>
      </c>
      <c r="C231" s="4">
        <f t="shared" si="10"/>
        <v>4</v>
      </c>
      <c r="D231" s="4">
        <f t="shared" si="11"/>
        <v>2023</v>
      </c>
      <c r="E231" s="3">
        <v>45039</v>
      </c>
      <c r="F231" s="4" t="s">
        <v>256</v>
      </c>
      <c r="G231" s="4" t="s">
        <v>16</v>
      </c>
      <c r="H231" s="4" t="str" cm="1">
        <f t="array" ref="H231">_xlfn.IFS(I231&lt;30, "Young Adult", I231&gt;=50, "Senior", I231&gt;=30, "Adult")</f>
        <v>Senior</v>
      </c>
      <c r="I231" s="4">
        <v>54</v>
      </c>
      <c r="J231" s="4" t="s">
        <v>17</v>
      </c>
      <c r="K231" s="4">
        <v>1</v>
      </c>
      <c r="L231" s="5">
        <v>25</v>
      </c>
      <c r="M231" s="5">
        <f>K231 * L231</f>
        <v>25</v>
      </c>
      <c r="N231" s="5">
        <f>M231 * $Q$4</f>
        <v>0.375</v>
      </c>
      <c r="O231" s="5">
        <f>M231* $Q$5</f>
        <v>0.5</v>
      </c>
    </row>
    <row r="232" spans="1:15">
      <c r="A232" s="2">
        <v>231</v>
      </c>
      <c r="B232" s="4">
        <f t="shared" si="9"/>
        <v>4</v>
      </c>
      <c r="C232" s="4">
        <f t="shared" si="10"/>
        <v>1</v>
      </c>
      <c r="D232" s="4">
        <f t="shared" si="11"/>
        <v>2023</v>
      </c>
      <c r="E232" s="3">
        <v>44930</v>
      </c>
      <c r="F232" s="4" t="s">
        <v>257</v>
      </c>
      <c r="G232" s="4" t="s">
        <v>19</v>
      </c>
      <c r="H232" s="4" t="str" cm="1">
        <f t="array" ref="H232">_xlfn.IFS(I232&lt;30, "Young Adult", I232&gt;=50, "Senior", I232&gt;=30, "Adult")</f>
        <v>Young Adult</v>
      </c>
      <c r="I232" s="4">
        <v>23</v>
      </c>
      <c r="J232" s="4" t="s">
        <v>20</v>
      </c>
      <c r="K232" s="4">
        <v>3</v>
      </c>
      <c r="L232" s="5">
        <v>50</v>
      </c>
      <c r="M232" s="5">
        <f>K232 * L232</f>
        <v>150</v>
      </c>
      <c r="N232" s="5">
        <f>M232 * $Q$4</f>
        <v>2.25</v>
      </c>
      <c r="O232" s="5">
        <f>M232* $Q$5</f>
        <v>3</v>
      </c>
    </row>
    <row r="233" spans="1:15">
      <c r="A233" s="2">
        <v>232</v>
      </c>
      <c r="B233" s="4">
        <f t="shared" si="9"/>
        <v>6</v>
      </c>
      <c r="C233" s="4">
        <f t="shared" si="10"/>
        <v>2</v>
      </c>
      <c r="D233" s="4">
        <f t="shared" si="11"/>
        <v>2023</v>
      </c>
      <c r="E233" s="3">
        <v>44963</v>
      </c>
      <c r="F233" s="4" t="s">
        <v>258</v>
      </c>
      <c r="G233" s="4" t="s">
        <v>19</v>
      </c>
      <c r="H233" s="4" t="str" cm="1">
        <f t="array" ref="H233">_xlfn.IFS(I233&lt;30, "Young Adult", I233&gt;=50, "Senior", I233&gt;=30, "Adult")</f>
        <v>Adult</v>
      </c>
      <c r="I233" s="4">
        <v>43</v>
      </c>
      <c r="J233" s="4" t="s">
        <v>17</v>
      </c>
      <c r="K233" s="4">
        <v>1</v>
      </c>
      <c r="L233" s="5">
        <v>25</v>
      </c>
      <c r="M233" s="5">
        <f>K233 * L233</f>
        <v>25</v>
      </c>
      <c r="N233" s="5">
        <f>M233 * $Q$4</f>
        <v>0.375</v>
      </c>
      <c r="O233" s="5">
        <f>M233* $Q$5</f>
        <v>0.5</v>
      </c>
    </row>
    <row r="234" spans="1:15">
      <c r="A234" s="2">
        <v>233</v>
      </c>
      <c r="B234" s="4">
        <f t="shared" si="9"/>
        <v>29</v>
      </c>
      <c r="C234" s="4">
        <f t="shared" si="10"/>
        <v>12</v>
      </c>
      <c r="D234" s="4">
        <f t="shared" si="11"/>
        <v>2023</v>
      </c>
      <c r="E234" s="3">
        <v>45289</v>
      </c>
      <c r="F234" s="4" t="s">
        <v>259</v>
      </c>
      <c r="G234" s="4" t="s">
        <v>19</v>
      </c>
      <c r="H234" s="4" t="str" cm="1">
        <f t="array" ref="H234">_xlfn.IFS(I234&lt;30, "Young Adult", I234&gt;=50, "Senior", I234&gt;=30, "Adult")</f>
        <v>Senior</v>
      </c>
      <c r="I234" s="4">
        <v>51</v>
      </c>
      <c r="J234" s="4" t="s">
        <v>17</v>
      </c>
      <c r="K234" s="4">
        <v>2</v>
      </c>
      <c r="L234" s="5">
        <v>300</v>
      </c>
      <c r="M234" s="5">
        <f>K234 * L234</f>
        <v>600</v>
      </c>
      <c r="N234" s="5">
        <f>M234 * $Q$4</f>
        <v>9</v>
      </c>
      <c r="O234" s="5">
        <f>M234* $Q$5</f>
        <v>12</v>
      </c>
    </row>
    <row r="235" spans="1:15">
      <c r="A235" s="2">
        <v>234</v>
      </c>
      <c r="B235" s="4">
        <f t="shared" si="9"/>
        <v>20</v>
      </c>
      <c r="C235" s="4">
        <f t="shared" si="10"/>
        <v>11</v>
      </c>
      <c r="D235" s="4">
        <f t="shared" si="11"/>
        <v>2023</v>
      </c>
      <c r="E235" s="3">
        <v>45250</v>
      </c>
      <c r="F235" s="4" t="s">
        <v>260</v>
      </c>
      <c r="G235" s="4" t="s">
        <v>19</v>
      </c>
      <c r="H235" s="4" t="str" cm="1">
        <f t="array" ref="H235">_xlfn.IFS(I235&lt;30, "Young Adult", I235&gt;=50, "Senior", I235&gt;=30, "Adult")</f>
        <v>Senior</v>
      </c>
      <c r="I235" s="4">
        <v>62</v>
      </c>
      <c r="J235" s="4" t="s">
        <v>24</v>
      </c>
      <c r="K235" s="4">
        <v>2</v>
      </c>
      <c r="L235" s="5">
        <v>25</v>
      </c>
      <c r="M235" s="5">
        <f>K235 * L235</f>
        <v>50</v>
      </c>
      <c r="N235" s="5">
        <f>M235 * $Q$4</f>
        <v>0.75</v>
      </c>
      <c r="O235" s="5">
        <f>M235* $Q$5</f>
        <v>1</v>
      </c>
    </row>
    <row r="236" spans="1:15">
      <c r="A236" s="2">
        <v>235</v>
      </c>
      <c r="B236" s="4">
        <f t="shared" si="9"/>
        <v>31</v>
      </c>
      <c r="C236" s="4">
        <f t="shared" si="10"/>
        <v>1</v>
      </c>
      <c r="D236" s="4">
        <f t="shared" si="11"/>
        <v>2023</v>
      </c>
      <c r="E236" s="3">
        <v>44957</v>
      </c>
      <c r="F236" s="4" t="s">
        <v>261</v>
      </c>
      <c r="G236" s="4" t="s">
        <v>19</v>
      </c>
      <c r="H236" s="4" t="str" cm="1">
        <f t="array" ref="H236">_xlfn.IFS(I236&lt;30, "Young Adult", I236&gt;=50, "Senior", I236&gt;=30, "Adult")</f>
        <v>Young Adult</v>
      </c>
      <c r="I236" s="4">
        <v>23</v>
      </c>
      <c r="J236" s="4" t="s">
        <v>24</v>
      </c>
      <c r="K236" s="4">
        <v>2</v>
      </c>
      <c r="L236" s="5">
        <v>500</v>
      </c>
      <c r="M236" s="5">
        <f>K236 * L236</f>
        <v>1000</v>
      </c>
      <c r="N236" s="5">
        <f>M236 * $Q$4</f>
        <v>15</v>
      </c>
      <c r="O236" s="5">
        <f>M236* $Q$5</f>
        <v>20</v>
      </c>
    </row>
    <row r="237" spans="1:15">
      <c r="A237" s="2">
        <v>236</v>
      </c>
      <c r="B237" s="4">
        <f t="shared" si="9"/>
        <v>28</v>
      </c>
      <c r="C237" s="4">
        <f t="shared" si="10"/>
        <v>4</v>
      </c>
      <c r="D237" s="4">
        <f t="shared" si="11"/>
        <v>2023</v>
      </c>
      <c r="E237" s="3">
        <v>45044</v>
      </c>
      <c r="F237" s="4" t="s">
        <v>262</v>
      </c>
      <c r="G237" s="4" t="s">
        <v>19</v>
      </c>
      <c r="H237" s="4" t="str" cm="1">
        <f t="array" ref="H237">_xlfn.IFS(I237&lt;30, "Young Adult", I237&gt;=50, "Senior", I237&gt;=30, "Adult")</f>
        <v>Senior</v>
      </c>
      <c r="I237" s="4">
        <v>54</v>
      </c>
      <c r="J237" s="4" t="s">
        <v>20</v>
      </c>
      <c r="K237" s="4">
        <v>1</v>
      </c>
      <c r="L237" s="5">
        <v>25</v>
      </c>
      <c r="M237" s="5">
        <f>K237 * L237</f>
        <v>25</v>
      </c>
      <c r="N237" s="5">
        <f>M237 * $Q$4</f>
        <v>0.375</v>
      </c>
      <c r="O237" s="5">
        <f>M237* $Q$5</f>
        <v>0.5</v>
      </c>
    </row>
    <row r="238" spans="1:15">
      <c r="A238" s="2">
        <v>237</v>
      </c>
      <c r="B238" s="4">
        <f t="shared" si="9"/>
        <v>4</v>
      </c>
      <c r="C238" s="4">
        <f t="shared" si="10"/>
        <v>2</v>
      </c>
      <c r="D238" s="4">
        <f t="shared" si="11"/>
        <v>2023</v>
      </c>
      <c r="E238" s="3">
        <v>44961</v>
      </c>
      <c r="F238" s="4" t="s">
        <v>263</v>
      </c>
      <c r="G238" s="4" t="s">
        <v>19</v>
      </c>
      <c r="H238" s="4" t="str" cm="1">
        <f t="array" ref="H238">_xlfn.IFS(I238&lt;30, "Young Adult", I238&gt;=50, "Senior", I238&gt;=30, "Adult")</f>
        <v>Senior</v>
      </c>
      <c r="I238" s="4">
        <v>50</v>
      </c>
      <c r="J238" s="4" t="s">
        <v>17</v>
      </c>
      <c r="K238" s="4">
        <v>2</v>
      </c>
      <c r="L238" s="5">
        <v>500</v>
      </c>
      <c r="M238" s="5">
        <f>K238 * L238</f>
        <v>1000</v>
      </c>
      <c r="N238" s="5">
        <f>M238 * $Q$4</f>
        <v>15</v>
      </c>
      <c r="O238" s="5">
        <f>M238* $Q$5</f>
        <v>20</v>
      </c>
    </row>
    <row r="239" spans="1:15">
      <c r="A239" s="2">
        <v>238</v>
      </c>
      <c r="B239" s="4">
        <f t="shared" si="9"/>
        <v>17</v>
      </c>
      <c r="C239" s="4">
        <f t="shared" si="10"/>
        <v>1</v>
      </c>
      <c r="D239" s="4">
        <f t="shared" si="11"/>
        <v>2023</v>
      </c>
      <c r="E239" s="3">
        <v>44943</v>
      </c>
      <c r="F239" s="4" t="s">
        <v>264</v>
      </c>
      <c r="G239" s="4" t="s">
        <v>19</v>
      </c>
      <c r="H239" s="4" t="str" cm="1">
        <f t="array" ref="H239">_xlfn.IFS(I239&lt;30, "Young Adult", I239&gt;=50, "Senior", I239&gt;=30, "Adult")</f>
        <v>Adult</v>
      </c>
      <c r="I239" s="4">
        <v>39</v>
      </c>
      <c r="J239" s="4" t="s">
        <v>17</v>
      </c>
      <c r="K239" s="4">
        <v>1</v>
      </c>
      <c r="L239" s="5">
        <v>500</v>
      </c>
      <c r="M239" s="5">
        <f>K239 * L239</f>
        <v>500</v>
      </c>
      <c r="N239" s="5">
        <f>M239 * $Q$4</f>
        <v>7.5</v>
      </c>
      <c r="O239" s="5">
        <f>M239* $Q$5</f>
        <v>10</v>
      </c>
    </row>
    <row r="240" spans="1:15">
      <c r="A240" s="2">
        <v>239</v>
      </c>
      <c r="B240" s="4">
        <f t="shared" si="9"/>
        <v>19</v>
      </c>
      <c r="C240" s="4">
        <f t="shared" si="10"/>
        <v>6</v>
      </c>
      <c r="D240" s="4">
        <f t="shared" si="11"/>
        <v>2023</v>
      </c>
      <c r="E240" s="3">
        <v>45096</v>
      </c>
      <c r="F240" s="4" t="s">
        <v>265</v>
      </c>
      <c r="G240" s="4" t="s">
        <v>16</v>
      </c>
      <c r="H240" s="4" t="str" cm="1">
        <f t="array" ref="H240">_xlfn.IFS(I240&lt;30, "Young Adult", I240&gt;=50, "Senior", I240&gt;=30, "Adult")</f>
        <v>Adult</v>
      </c>
      <c r="I240" s="4">
        <v>38</v>
      </c>
      <c r="J240" s="4" t="s">
        <v>24</v>
      </c>
      <c r="K240" s="4">
        <v>3</v>
      </c>
      <c r="L240" s="5">
        <v>500</v>
      </c>
      <c r="M240" s="5">
        <f>K240 * L240</f>
        <v>1500</v>
      </c>
      <c r="N240" s="5">
        <f>M240 * $Q$4</f>
        <v>22.5</v>
      </c>
      <c r="O240" s="5">
        <f>M240* $Q$5</f>
        <v>30</v>
      </c>
    </row>
    <row r="241" spans="1:15">
      <c r="A241" s="2">
        <v>240</v>
      </c>
      <c r="B241" s="4">
        <f t="shared" si="9"/>
        <v>6</v>
      </c>
      <c r="C241" s="4">
        <f t="shared" si="10"/>
        <v>2</v>
      </c>
      <c r="D241" s="4">
        <f t="shared" si="11"/>
        <v>2023</v>
      </c>
      <c r="E241" s="3">
        <v>44963</v>
      </c>
      <c r="F241" s="4" t="s">
        <v>266</v>
      </c>
      <c r="G241" s="4" t="s">
        <v>19</v>
      </c>
      <c r="H241" s="4" t="str" cm="1">
        <f t="array" ref="H241">_xlfn.IFS(I241&lt;30, "Young Adult", I241&gt;=50, "Senior", I241&gt;=30, "Adult")</f>
        <v>Young Adult</v>
      </c>
      <c r="I241" s="4">
        <v>23</v>
      </c>
      <c r="J241" s="4" t="s">
        <v>17</v>
      </c>
      <c r="K241" s="4">
        <v>1</v>
      </c>
      <c r="L241" s="5">
        <v>300</v>
      </c>
      <c r="M241" s="5">
        <f>K241 * L241</f>
        <v>300</v>
      </c>
      <c r="N241" s="5">
        <f>M241 * $Q$4</f>
        <v>4.5</v>
      </c>
      <c r="O241" s="5">
        <f>M241* $Q$5</f>
        <v>6</v>
      </c>
    </row>
    <row r="242" spans="1:15">
      <c r="A242" s="2">
        <v>241</v>
      </c>
      <c r="B242" s="4">
        <f t="shared" si="9"/>
        <v>21</v>
      </c>
      <c r="C242" s="4">
        <f t="shared" si="10"/>
        <v>9</v>
      </c>
      <c r="D242" s="4">
        <f t="shared" si="11"/>
        <v>2023</v>
      </c>
      <c r="E242" s="3">
        <v>45190</v>
      </c>
      <c r="F242" s="4" t="s">
        <v>267</v>
      </c>
      <c r="G242" s="4" t="s">
        <v>19</v>
      </c>
      <c r="H242" s="4" t="str" cm="1">
        <f t="array" ref="H242">_xlfn.IFS(I242&lt;30, "Young Adult", I242&gt;=50, "Senior", I242&gt;=30, "Adult")</f>
        <v>Young Adult</v>
      </c>
      <c r="I242" s="4">
        <v>23</v>
      </c>
      <c r="J242" s="4" t="s">
        <v>24</v>
      </c>
      <c r="K242" s="4">
        <v>3</v>
      </c>
      <c r="L242" s="5">
        <v>25</v>
      </c>
      <c r="M242" s="5">
        <f>K242 * L242</f>
        <v>75</v>
      </c>
      <c r="N242" s="5">
        <f>M242 * $Q$4</f>
        <v>1.125</v>
      </c>
      <c r="O242" s="5">
        <f>M242* $Q$5</f>
        <v>1.5</v>
      </c>
    </row>
    <row r="243" spans="1:15">
      <c r="A243" s="2">
        <v>242</v>
      </c>
      <c r="B243" s="4">
        <f t="shared" si="9"/>
        <v>2</v>
      </c>
      <c r="C243" s="4">
        <f t="shared" si="10"/>
        <v>5</v>
      </c>
      <c r="D243" s="4">
        <f t="shared" si="11"/>
        <v>2023</v>
      </c>
      <c r="E243" s="3">
        <v>45048</v>
      </c>
      <c r="F243" s="4" t="s">
        <v>268</v>
      </c>
      <c r="G243" s="4" t="s">
        <v>16</v>
      </c>
      <c r="H243" s="4" t="str" cm="1">
        <f t="array" ref="H243">_xlfn.IFS(I243&lt;30, "Young Adult", I243&gt;=50, "Senior", I243&gt;=30, "Adult")</f>
        <v>Young Adult</v>
      </c>
      <c r="I243" s="4">
        <v>21</v>
      </c>
      <c r="J243" s="4" t="s">
        <v>20</v>
      </c>
      <c r="K243" s="4">
        <v>1</v>
      </c>
      <c r="L243" s="5">
        <v>25</v>
      </c>
      <c r="M243" s="5">
        <f>K243 * L243</f>
        <v>25</v>
      </c>
      <c r="N243" s="5">
        <f>M243 * $Q$4</f>
        <v>0.375</v>
      </c>
      <c r="O243" s="5">
        <f>M243* $Q$5</f>
        <v>0.5</v>
      </c>
    </row>
    <row r="244" spans="1:15">
      <c r="A244" s="2">
        <v>243</v>
      </c>
      <c r="B244" s="4">
        <f t="shared" si="9"/>
        <v>23</v>
      </c>
      <c r="C244" s="4">
        <f t="shared" si="10"/>
        <v>5</v>
      </c>
      <c r="D244" s="4">
        <f t="shared" si="11"/>
        <v>2023</v>
      </c>
      <c r="E244" s="3">
        <v>45069</v>
      </c>
      <c r="F244" s="4" t="s">
        <v>269</v>
      </c>
      <c r="G244" s="4" t="s">
        <v>19</v>
      </c>
      <c r="H244" s="4" t="str" cm="1">
        <f t="array" ref="H244">_xlfn.IFS(I244&lt;30, "Young Adult", I244&gt;=50, "Senior", I244&gt;=30, "Adult")</f>
        <v>Adult</v>
      </c>
      <c r="I244" s="4">
        <v>47</v>
      </c>
      <c r="J244" s="4" t="s">
        <v>24</v>
      </c>
      <c r="K244" s="4">
        <v>3</v>
      </c>
      <c r="L244" s="5">
        <v>300</v>
      </c>
      <c r="M244" s="5">
        <f>K244 * L244</f>
        <v>900</v>
      </c>
      <c r="N244" s="5">
        <f>M244 * $Q$4</f>
        <v>13.5</v>
      </c>
      <c r="O244" s="5">
        <f>M244* $Q$5</f>
        <v>18</v>
      </c>
    </row>
    <row r="245" spans="1:15">
      <c r="A245" s="2">
        <v>244</v>
      </c>
      <c r="B245" s="4">
        <f t="shared" si="9"/>
        <v>9</v>
      </c>
      <c r="C245" s="4">
        <f t="shared" si="10"/>
        <v>12</v>
      </c>
      <c r="D245" s="4">
        <f t="shared" si="11"/>
        <v>2023</v>
      </c>
      <c r="E245" s="3">
        <v>45269</v>
      </c>
      <c r="F245" s="4" t="s">
        <v>270</v>
      </c>
      <c r="G245" s="4" t="s">
        <v>16</v>
      </c>
      <c r="H245" s="4" t="str" cm="1">
        <f t="array" ref="H245">_xlfn.IFS(I245&lt;30, "Young Adult", I245&gt;=50, "Senior", I245&gt;=30, "Adult")</f>
        <v>Young Adult</v>
      </c>
      <c r="I245" s="4">
        <v>28</v>
      </c>
      <c r="J245" s="4" t="s">
        <v>17</v>
      </c>
      <c r="K245" s="4">
        <v>2</v>
      </c>
      <c r="L245" s="5">
        <v>50</v>
      </c>
      <c r="M245" s="5">
        <f>K245 * L245</f>
        <v>100</v>
      </c>
      <c r="N245" s="5">
        <f>M245 * $Q$4</f>
        <v>1.5</v>
      </c>
      <c r="O245" s="5">
        <f>M245* $Q$5</f>
        <v>2</v>
      </c>
    </row>
    <row r="246" spans="1:15">
      <c r="A246" s="2">
        <v>245</v>
      </c>
      <c r="B246" s="4">
        <f t="shared" si="9"/>
        <v>6</v>
      </c>
      <c r="C246" s="4">
        <f t="shared" si="10"/>
        <v>9</v>
      </c>
      <c r="D246" s="4">
        <f t="shared" si="11"/>
        <v>2023</v>
      </c>
      <c r="E246" s="3">
        <v>45175</v>
      </c>
      <c r="F246" s="4" t="s">
        <v>271</v>
      </c>
      <c r="G246" s="4" t="s">
        <v>16</v>
      </c>
      <c r="H246" s="4" t="str" cm="1">
        <f t="array" ref="H246">_xlfn.IFS(I246&lt;30, "Young Adult", I246&gt;=50, "Senior", I246&gt;=30, "Adult")</f>
        <v>Adult</v>
      </c>
      <c r="I246" s="4">
        <v>47</v>
      </c>
      <c r="J246" s="4" t="s">
        <v>20</v>
      </c>
      <c r="K246" s="4">
        <v>3</v>
      </c>
      <c r="L246" s="5">
        <v>30</v>
      </c>
      <c r="M246" s="5">
        <f>K246 * L246</f>
        <v>90</v>
      </c>
      <c r="N246" s="5">
        <f>M246 * $Q$4</f>
        <v>1.3499999999999999</v>
      </c>
      <c r="O246" s="5">
        <f>M246* $Q$5</f>
        <v>1.8</v>
      </c>
    </row>
    <row r="247" spans="1:15">
      <c r="A247" s="2">
        <v>246</v>
      </c>
      <c r="B247" s="4">
        <f t="shared" si="9"/>
        <v>20</v>
      </c>
      <c r="C247" s="4">
        <f t="shared" si="10"/>
        <v>4</v>
      </c>
      <c r="D247" s="4">
        <f t="shared" si="11"/>
        <v>2023</v>
      </c>
      <c r="E247" s="3">
        <v>45036</v>
      </c>
      <c r="F247" s="4" t="s">
        <v>272</v>
      </c>
      <c r="G247" s="4" t="s">
        <v>19</v>
      </c>
      <c r="H247" s="4" t="str" cm="1">
        <f t="array" ref="H247">_xlfn.IFS(I247&lt;30, "Young Adult", I247&gt;=50, "Senior", I247&gt;=30, "Adult")</f>
        <v>Adult</v>
      </c>
      <c r="I247" s="4">
        <v>48</v>
      </c>
      <c r="J247" s="4" t="s">
        <v>24</v>
      </c>
      <c r="K247" s="4">
        <v>2</v>
      </c>
      <c r="L247" s="5">
        <v>25</v>
      </c>
      <c r="M247" s="5">
        <f>K247 * L247</f>
        <v>50</v>
      </c>
      <c r="N247" s="5">
        <f>M247 * $Q$4</f>
        <v>0.75</v>
      </c>
      <c r="O247" s="5">
        <f>M247* $Q$5</f>
        <v>1</v>
      </c>
    </row>
    <row r="248" spans="1:15">
      <c r="A248" s="2">
        <v>247</v>
      </c>
      <c r="B248" s="4">
        <f t="shared" si="9"/>
        <v>4</v>
      </c>
      <c r="C248" s="4">
        <f t="shared" si="10"/>
        <v>10</v>
      </c>
      <c r="D248" s="4">
        <f t="shared" si="11"/>
        <v>2023</v>
      </c>
      <c r="E248" s="3">
        <v>45203</v>
      </c>
      <c r="F248" s="4" t="s">
        <v>273</v>
      </c>
      <c r="G248" s="4" t="s">
        <v>16</v>
      </c>
      <c r="H248" s="4" t="str" cm="1">
        <f t="array" ref="H248">_xlfn.IFS(I248&lt;30, "Young Adult", I248&gt;=50, "Senior", I248&gt;=30, "Adult")</f>
        <v>Adult</v>
      </c>
      <c r="I248" s="4">
        <v>41</v>
      </c>
      <c r="J248" s="4" t="s">
        <v>24</v>
      </c>
      <c r="K248" s="4">
        <v>2</v>
      </c>
      <c r="L248" s="5">
        <v>30</v>
      </c>
      <c r="M248" s="5">
        <f>K248 * L248</f>
        <v>60</v>
      </c>
      <c r="N248" s="5">
        <f>M248 * $Q$4</f>
        <v>0.89999999999999991</v>
      </c>
      <c r="O248" s="5">
        <f>M248* $Q$5</f>
        <v>1.2</v>
      </c>
    </row>
    <row r="249" spans="1:15">
      <c r="A249" s="2">
        <v>248</v>
      </c>
      <c r="B249" s="4">
        <f t="shared" si="9"/>
        <v>9</v>
      </c>
      <c r="C249" s="4">
        <f t="shared" si="10"/>
        <v>3</v>
      </c>
      <c r="D249" s="4">
        <f t="shared" si="11"/>
        <v>2023</v>
      </c>
      <c r="E249" s="3">
        <v>44994</v>
      </c>
      <c r="F249" s="4" t="s">
        <v>274</v>
      </c>
      <c r="G249" s="4" t="s">
        <v>16</v>
      </c>
      <c r="H249" s="4" t="str" cm="1">
        <f t="array" ref="H249">_xlfn.IFS(I249&lt;30, "Young Adult", I249&gt;=50, "Senior", I249&gt;=30, "Adult")</f>
        <v>Young Adult</v>
      </c>
      <c r="I249" s="4">
        <v>26</v>
      </c>
      <c r="J249" s="4" t="s">
        <v>20</v>
      </c>
      <c r="K249" s="4">
        <v>3</v>
      </c>
      <c r="L249" s="5">
        <v>300</v>
      </c>
      <c r="M249" s="5">
        <f>K249 * L249</f>
        <v>900</v>
      </c>
      <c r="N249" s="5">
        <f>M249 * $Q$4</f>
        <v>13.5</v>
      </c>
      <c r="O249" s="5">
        <f>M249* $Q$5</f>
        <v>18</v>
      </c>
    </row>
    <row r="250" spans="1:15">
      <c r="A250" s="2">
        <v>249</v>
      </c>
      <c r="B250" s="4">
        <f t="shared" si="9"/>
        <v>20</v>
      </c>
      <c r="C250" s="4">
        <f t="shared" si="10"/>
        <v>10</v>
      </c>
      <c r="D250" s="4">
        <f t="shared" si="11"/>
        <v>2023</v>
      </c>
      <c r="E250" s="3">
        <v>45219</v>
      </c>
      <c r="F250" s="4" t="s">
        <v>275</v>
      </c>
      <c r="G250" s="4" t="s">
        <v>16</v>
      </c>
      <c r="H250" s="4" t="str" cm="1">
        <f t="array" ref="H250">_xlfn.IFS(I250&lt;30, "Young Adult", I250&gt;=50, "Senior", I250&gt;=30, "Adult")</f>
        <v>Young Adult</v>
      </c>
      <c r="I250" s="4">
        <v>20</v>
      </c>
      <c r="J250" s="4" t="s">
        <v>20</v>
      </c>
      <c r="K250" s="4">
        <v>1</v>
      </c>
      <c r="L250" s="5">
        <v>50</v>
      </c>
      <c r="M250" s="5">
        <f>K250 * L250</f>
        <v>50</v>
      </c>
      <c r="N250" s="5">
        <f>M250 * $Q$4</f>
        <v>0.75</v>
      </c>
      <c r="O250" s="5">
        <f>M250* $Q$5</f>
        <v>1</v>
      </c>
    </row>
    <row r="251" spans="1:15">
      <c r="A251" s="2">
        <v>250</v>
      </c>
      <c r="B251" s="4">
        <f t="shared" si="9"/>
        <v>23</v>
      </c>
      <c r="C251" s="4">
        <f t="shared" si="10"/>
        <v>10</v>
      </c>
      <c r="D251" s="4">
        <f t="shared" si="11"/>
        <v>2023</v>
      </c>
      <c r="E251" s="3">
        <v>45222</v>
      </c>
      <c r="F251" s="4" t="s">
        <v>276</v>
      </c>
      <c r="G251" s="4" t="s">
        <v>16</v>
      </c>
      <c r="H251" s="4" t="str" cm="1">
        <f t="array" ref="H251">_xlfn.IFS(I251&lt;30, "Young Adult", I251&gt;=50, "Senior", I251&gt;=30, "Adult")</f>
        <v>Adult</v>
      </c>
      <c r="I251" s="4">
        <v>48</v>
      </c>
      <c r="J251" s="4" t="s">
        <v>24</v>
      </c>
      <c r="K251" s="4">
        <v>1</v>
      </c>
      <c r="L251" s="5">
        <v>50</v>
      </c>
      <c r="M251" s="5">
        <f>K251 * L251</f>
        <v>50</v>
      </c>
      <c r="N251" s="5">
        <f>M251 * $Q$4</f>
        <v>0.75</v>
      </c>
      <c r="O251" s="5">
        <f>M251* $Q$5</f>
        <v>1</v>
      </c>
    </row>
    <row r="252" spans="1:15">
      <c r="A252" s="2">
        <v>251</v>
      </c>
      <c r="B252" s="4">
        <f t="shared" si="9"/>
        <v>31</v>
      </c>
      <c r="C252" s="4">
        <f t="shared" si="10"/>
        <v>8</v>
      </c>
      <c r="D252" s="4">
        <f t="shared" si="11"/>
        <v>2023</v>
      </c>
      <c r="E252" s="3">
        <v>45169</v>
      </c>
      <c r="F252" s="4" t="s">
        <v>277</v>
      </c>
      <c r="G252" s="4" t="s">
        <v>19</v>
      </c>
      <c r="H252" s="4" t="str" cm="1">
        <f t="array" ref="H252">_xlfn.IFS(I252&lt;30, "Young Adult", I252&gt;=50, "Senior", I252&gt;=30, "Adult")</f>
        <v>Senior</v>
      </c>
      <c r="I252" s="4">
        <v>57</v>
      </c>
      <c r="J252" s="4" t="s">
        <v>17</v>
      </c>
      <c r="K252" s="4">
        <v>4</v>
      </c>
      <c r="L252" s="5">
        <v>50</v>
      </c>
      <c r="M252" s="5">
        <f>K252 * L252</f>
        <v>200</v>
      </c>
      <c r="N252" s="5">
        <f>M252 * $Q$4</f>
        <v>3</v>
      </c>
      <c r="O252" s="5">
        <f>M252* $Q$5</f>
        <v>4</v>
      </c>
    </row>
    <row r="253" spans="1:15">
      <c r="A253" s="2">
        <v>252</v>
      </c>
      <c r="B253" s="4">
        <f t="shared" si="9"/>
        <v>5</v>
      </c>
      <c r="C253" s="4">
        <f t="shared" si="10"/>
        <v>5</v>
      </c>
      <c r="D253" s="4">
        <f t="shared" si="11"/>
        <v>2023</v>
      </c>
      <c r="E253" s="3">
        <v>45051</v>
      </c>
      <c r="F253" s="4" t="s">
        <v>278</v>
      </c>
      <c r="G253" s="4" t="s">
        <v>16</v>
      </c>
      <c r="H253" s="4" t="str" cm="1">
        <f t="array" ref="H253">_xlfn.IFS(I253&lt;30, "Young Adult", I253&gt;=50, "Senior", I253&gt;=30, "Adult")</f>
        <v>Senior</v>
      </c>
      <c r="I253" s="4">
        <v>54</v>
      </c>
      <c r="J253" s="4" t="s">
        <v>24</v>
      </c>
      <c r="K253" s="4">
        <v>1</v>
      </c>
      <c r="L253" s="5">
        <v>300</v>
      </c>
      <c r="M253" s="5">
        <f>K253 * L253</f>
        <v>300</v>
      </c>
      <c r="N253" s="5">
        <f>M253 * $Q$4</f>
        <v>4.5</v>
      </c>
      <c r="O253" s="5">
        <f>M253* $Q$5</f>
        <v>6</v>
      </c>
    </row>
    <row r="254" spans="1:15">
      <c r="A254" s="2">
        <v>253</v>
      </c>
      <c r="B254" s="4">
        <f t="shared" si="9"/>
        <v>31</v>
      </c>
      <c r="C254" s="4">
        <f t="shared" si="10"/>
        <v>8</v>
      </c>
      <c r="D254" s="4">
        <f t="shared" si="11"/>
        <v>2023</v>
      </c>
      <c r="E254" s="3">
        <v>45169</v>
      </c>
      <c r="F254" s="4" t="s">
        <v>279</v>
      </c>
      <c r="G254" s="4" t="s">
        <v>19</v>
      </c>
      <c r="H254" s="4" t="str" cm="1">
        <f t="array" ref="H254">_xlfn.IFS(I254&lt;30, "Young Adult", I254&gt;=50, "Senior", I254&gt;=30, "Adult")</f>
        <v>Senior</v>
      </c>
      <c r="I254" s="4">
        <v>53</v>
      </c>
      <c r="J254" s="4" t="s">
        <v>20</v>
      </c>
      <c r="K254" s="4">
        <v>4</v>
      </c>
      <c r="L254" s="5">
        <v>500</v>
      </c>
      <c r="M254" s="5">
        <f>K254 * L254</f>
        <v>2000</v>
      </c>
      <c r="N254" s="5">
        <f>M254 * $Q$4</f>
        <v>30</v>
      </c>
      <c r="O254" s="5">
        <f>M254* $Q$5</f>
        <v>40</v>
      </c>
    </row>
    <row r="255" spans="1:15">
      <c r="A255" s="2">
        <v>254</v>
      </c>
      <c r="B255" s="4">
        <f t="shared" si="9"/>
        <v>28</v>
      </c>
      <c r="C255" s="4">
        <f t="shared" si="10"/>
        <v>7</v>
      </c>
      <c r="D255" s="4">
        <f t="shared" si="11"/>
        <v>2023</v>
      </c>
      <c r="E255" s="3">
        <v>45135</v>
      </c>
      <c r="F255" s="4" t="s">
        <v>280</v>
      </c>
      <c r="G255" s="4" t="s">
        <v>16</v>
      </c>
      <c r="H255" s="4" t="str" cm="1">
        <f t="array" ref="H255">_xlfn.IFS(I255&lt;30, "Young Adult", I255&gt;=50, "Senior", I255&gt;=30, "Adult")</f>
        <v>Adult</v>
      </c>
      <c r="I255" s="4">
        <v>41</v>
      </c>
      <c r="J255" s="4" t="s">
        <v>24</v>
      </c>
      <c r="K255" s="4">
        <v>1</v>
      </c>
      <c r="L255" s="5">
        <v>500</v>
      </c>
      <c r="M255" s="5">
        <f>K255 * L255</f>
        <v>500</v>
      </c>
      <c r="N255" s="5">
        <f>M255 * $Q$4</f>
        <v>7.5</v>
      </c>
      <c r="O255" s="5">
        <f>M255* $Q$5</f>
        <v>10</v>
      </c>
    </row>
    <row r="256" spans="1:15">
      <c r="A256" s="2">
        <v>255</v>
      </c>
      <c r="B256" s="4">
        <f t="shared" si="9"/>
        <v>8</v>
      </c>
      <c r="C256" s="4">
        <f t="shared" si="10"/>
        <v>4</v>
      </c>
      <c r="D256" s="4">
        <f t="shared" si="11"/>
        <v>2023</v>
      </c>
      <c r="E256" s="3">
        <v>45024</v>
      </c>
      <c r="F256" s="4" t="s">
        <v>281</v>
      </c>
      <c r="G256" s="4" t="s">
        <v>16</v>
      </c>
      <c r="H256" s="4" t="str" cm="1">
        <f t="array" ref="H256">_xlfn.IFS(I256&lt;30, "Young Adult", I256&gt;=50, "Senior", I256&gt;=30, "Adult")</f>
        <v>Adult</v>
      </c>
      <c r="I256" s="4">
        <v>48</v>
      </c>
      <c r="J256" s="4" t="s">
        <v>20</v>
      </c>
      <c r="K256" s="4">
        <v>1</v>
      </c>
      <c r="L256" s="5">
        <v>30</v>
      </c>
      <c r="M256" s="5">
        <f>K256 * L256</f>
        <v>30</v>
      </c>
      <c r="N256" s="5">
        <f>M256 * $Q$4</f>
        <v>0.44999999999999996</v>
      </c>
      <c r="O256" s="5">
        <f>M256* $Q$5</f>
        <v>0.6</v>
      </c>
    </row>
    <row r="257" spans="1:15">
      <c r="A257" s="2">
        <v>256</v>
      </c>
      <c r="B257" s="4">
        <f t="shared" si="9"/>
        <v>18</v>
      </c>
      <c r="C257" s="4">
        <f t="shared" si="10"/>
        <v>2</v>
      </c>
      <c r="D257" s="4">
        <f t="shared" si="11"/>
        <v>2023</v>
      </c>
      <c r="E257" s="3">
        <v>44975</v>
      </c>
      <c r="F257" s="4" t="s">
        <v>282</v>
      </c>
      <c r="G257" s="4" t="s">
        <v>16</v>
      </c>
      <c r="H257" s="4" t="str" cm="1">
        <f t="array" ref="H257">_xlfn.IFS(I257&lt;30, "Young Adult", I257&gt;=50, "Senior", I257&gt;=30, "Adult")</f>
        <v>Young Adult</v>
      </c>
      <c r="I257" s="4">
        <v>23</v>
      </c>
      <c r="J257" s="4" t="s">
        <v>20</v>
      </c>
      <c r="K257" s="4">
        <v>2</v>
      </c>
      <c r="L257" s="5">
        <v>500</v>
      </c>
      <c r="M257" s="5">
        <f>K257 * L257</f>
        <v>1000</v>
      </c>
      <c r="N257" s="5">
        <f>M257 * $Q$4</f>
        <v>15</v>
      </c>
      <c r="O257" s="5">
        <f>M257* $Q$5</f>
        <v>20</v>
      </c>
    </row>
    <row r="258" spans="1:15">
      <c r="A258" s="2">
        <v>257</v>
      </c>
      <c r="B258" s="4">
        <f t="shared" si="9"/>
        <v>19</v>
      </c>
      <c r="C258" s="4">
        <f t="shared" si="10"/>
        <v>2</v>
      </c>
      <c r="D258" s="4">
        <f t="shared" si="11"/>
        <v>2023</v>
      </c>
      <c r="E258" s="3">
        <v>44976</v>
      </c>
      <c r="F258" s="4" t="s">
        <v>283</v>
      </c>
      <c r="G258" s="4" t="s">
        <v>16</v>
      </c>
      <c r="H258" s="4" t="str" cm="1">
        <f t="array" ref="H258">_xlfn.IFS(I258&lt;30, "Young Adult", I258&gt;=50, "Senior", I258&gt;=30, "Adult")</f>
        <v>Young Adult</v>
      </c>
      <c r="I258" s="4">
        <v>19</v>
      </c>
      <c r="J258" s="4" t="s">
        <v>17</v>
      </c>
      <c r="K258" s="4">
        <v>4</v>
      </c>
      <c r="L258" s="5">
        <v>500</v>
      </c>
      <c r="M258" s="5">
        <f>K258 * L258</f>
        <v>2000</v>
      </c>
      <c r="N258" s="5">
        <f>M258 * $Q$4</f>
        <v>30</v>
      </c>
      <c r="O258" s="5">
        <f>M258* $Q$5</f>
        <v>40</v>
      </c>
    </row>
    <row r="259" spans="1:15">
      <c r="A259" s="2">
        <v>258</v>
      </c>
      <c r="B259" s="4">
        <f t="shared" ref="B259:B322" si="12">DAY(E259)</f>
        <v>4</v>
      </c>
      <c r="C259" s="4">
        <f t="shared" ref="C259:C322" si="13">MONTH(E259)</f>
        <v>12</v>
      </c>
      <c r="D259" s="4">
        <f t="shared" ref="D259:D322" si="14">YEAR(E259)</f>
        <v>2023</v>
      </c>
      <c r="E259" s="3">
        <v>45264</v>
      </c>
      <c r="F259" s="4" t="s">
        <v>284</v>
      </c>
      <c r="G259" s="4" t="s">
        <v>19</v>
      </c>
      <c r="H259" s="4" t="str" cm="1">
        <f t="array" ref="H259">_xlfn.IFS(I259&lt;30, "Young Adult", I259&gt;=50, "Senior", I259&gt;=30, "Adult")</f>
        <v>Adult</v>
      </c>
      <c r="I259" s="4">
        <v>37</v>
      </c>
      <c r="J259" s="4" t="s">
        <v>20</v>
      </c>
      <c r="K259" s="4">
        <v>1</v>
      </c>
      <c r="L259" s="5">
        <v>50</v>
      </c>
      <c r="M259" s="5">
        <f>K259 * L259</f>
        <v>50</v>
      </c>
      <c r="N259" s="5">
        <f>M259 * $Q$4</f>
        <v>0.75</v>
      </c>
      <c r="O259" s="5">
        <f>M259* $Q$5</f>
        <v>1</v>
      </c>
    </row>
    <row r="260" spans="1:15">
      <c r="A260" s="2">
        <v>259</v>
      </c>
      <c r="B260" s="4">
        <f t="shared" si="12"/>
        <v>9</v>
      </c>
      <c r="C260" s="4">
        <f t="shared" si="13"/>
        <v>8</v>
      </c>
      <c r="D260" s="4">
        <f t="shared" si="14"/>
        <v>2023</v>
      </c>
      <c r="E260" s="3">
        <v>45147</v>
      </c>
      <c r="F260" s="4" t="s">
        <v>285</v>
      </c>
      <c r="G260" s="4" t="s">
        <v>19</v>
      </c>
      <c r="H260" s="4" t="str" cm="1">
        <f t="array" ref="H260">_xlfn.IFS(I260&lt;30, "Young Adult", I260&gt;=50, "Senior", I260&gt;=30, "Adult")</f>
        <v>Adult</v>
      </c>
      <c r="I260" s="4">
        <v>45</v>
      </c>
      <c r="J260" s="4" t="s">
        <v>20</v>
      </c>
      <c r="K260" s="4">
        <v>4</v>
      </c>
      <c r="L260" s="5">
        <v>50</v>
      </c>
      <c r="M260" s="5">
        <f>K260 * L260</f>
        <v>200</v>
      </c>
      <c r="N260" s="5">
        <f>M260 * $Q$4</f>
        <v>3</v>
      </c>
      <c r="O260" s="5">
        <f>M260* $Q$5</f>
        <v>4</v>
      </c>
    </row>
    <row r="261" spans="1:15">
      <c r="A261" s="2">
        <v>260</v>
      </c>
      <c r="B261" s="4">
        <f t="shared" si="12"/>
        <v>1</v>
      </c>
      <c r="C261" s="4">
        <f t="shared" si="13"/>
        <v>7</v>
      </c>
      <c r="D261" s="4">
        <f t="shared" si="14"/>
        <v>2023</v>
      </c>
      <c r="E261" s="3">
        <v>45108</v>
      </c>
      <c r="F261" s="4" t="s">
        <v>286</v>
      </c>
      <c r="G261" s="4" t="s">
        <v>16</v>
      </c>
      <c r="H261" s="4" t="str" cm="1">
        <f t="array" ref="H261">_xlfn.IFS(I261&lt;30, "Young Adult", I261&gt;=50, "Senior", I261&gt;=30, "Adult")</f>
        <v>Young Adult</v>
      </c>
      <c r="I261" s="4">
        <v>28</v>
      </c>
      <c r="J261" s="4" t="s">
        <v>17</v>
      </c>
      <c r="K261" s="4">
        <v>2</v>
      </c>
      <c r="L261" s="5">
        <v>30</v>
      </c>
      <c r="M261" s="5">
        <f>K261 * L261</f>
        <v>60</v>
      </c>
      <c r="N261" s="5">
        <f>M261 * $Q$4</f>
        <v>0.89999999999999991</v>
      </c>
      <c r="O261" s="5">
        <f>M261* $Q$5</f>
        <v>1.2</v>
      </c>
    </row>
    <row r="262" spans="1:15">
      <c r="A262" s="2">
        <v>261</v>
      </c>
      <c r="B262" s="4">
        <f t="shared" si="12"/>
        <v>5</v>
      </c>
      <c r="C262" s="4">
        <f t="shared" si="13"/>
        <v>8</v>
      </c>
      <c r="D262" s="4">
        <f t="shared" si="14"/>
        <v>2023</v>
      </c>
      <c r="E262" s="3">
        <v>45143</v>
      </c>
      <c r="F262" s="4" t="s">
        <v>287</v>
      </c>
      <c r="G262" s="4" t="s">
        <v>16</v>
      </c>
      <c r="H262" s="4" t="str" cm="1">
        <f t="array" ref="H262">_xlfn.IFS(I262&lt;30, "Young Adult", I262&gt;=50, "Senior", I262&gt;=30, "Adult")</f>
        <v>Young Adult</v>
      </c>
      <c r="I262" s="4">
        <v>21</v>
      </c>
      <c r="J262" s="4" t="s">
        <v>20</v>
      </c>
      <c r="K262" s="4">
        <v>2</v>
      </c>
      <c r="L262" s="5">
        <v>25</v>
      </c>
      <c r="M262" s="5">
        <f>K262 * L262</f>
        <v>50</v>
      </c>
      <c r="N262" s="5">
        <f>M262 * $Q$4</f>
        <v>0.75</v>
      </c>
      <c r="O262" s="5">
        <f>M262* $Q$5</f>
        <v>1</v>
      </c>
    </row>
    <row r="263" spans="1:15">
      <c r="A263" s="2">
        <v>262</v>
      </c>
      <c r="B263" s="4">
        <f t="shared" si="12"/>
        <v>30</v>
      </c>
      <c r="C263" s="4">
        <f t="shared" si="13"/>
        <v>7</v>
      </c>
      <c r="D263" s="4">
        <f t="shared" si="14"/>
        <v>2023</v>
      </c>
      <c r="E263" s="3">
        <v>45137</v>
      </c>
      <c r="F263" s="4" t="s">
        <v>288</v>
      </c>
      <c r="G263" s="4" t="s">
        <v>19</v>
      </c>
      <c r="H263" s="4" t="str" cm="1">
        <f t="array" ref="H263">_xlfn.IFS(I263&lt;30, "Young Adult", I263&gt;=50, "Senior", I263&gt;=30, "Adult")</f>
        <v>Adult</v>
      </c>
      <c r="I263" s="4">
        <v>32</v>
      </c>
      <c r="J263" s="4" t="s">
        <v>17</v>
      </c>
      <c r="K263" s="4">
        <v>4</v>
      </c>
      <c r="L263" s="5">
        <v>30</v>
      </c>
      <c r="M263" s="5">
        <f>K263 * L263</f>
        <v>120</v>
      </c>
      <c r="N263" s="5">
        <f>M263 * $Q$4</f>
        <v>1.7999999999999998</v>
      </c>
      <c r="O263" s="5">
        <f>M263* $Q$5</f>
        <v>2.4</v>
      </c>
    </row>
    <row r="264" spans="1:15">
      <c r="A264" s="2">
        <v>263</v>
      </c>
      <c r="B264" s="4">
        <f t="shared" si="12"/>
        <v>28</v>
      </c>
      <c r="C264" s="4">
        <f t="shared" si="13"/>
        <v>8</v>
      </c>
      <c r="D264" s="4">
        <f t="shared" si="14"/>
        <v>2023</v>
      </c>
      <c r="E264" s="3">
        <v>45166</v>
      </c>
      <c r="F264" s="4" t="s">
        <v>289</v>
      </c>
      <c r="G264" s="4" t="s">
        <v>16</v>
      </c>
      <c r="H264" s="4" t="str" cm="1">
        <f t="array" ref="H264">_xlfn.IFS(I264&lt;30, "Young Adult", I264&gt;=50, "Senior", I264&gt;=30, "Adult")</f>
        <v>Young Adult</v>
      </c>
      <c r="I264" s="4">
        <v>23</v>
      </c>
      <c r="J264" s="4" t="s">
        <v>17</v>
      </c>
      <c r="K264" s="4">
        <v>2</v>
      </c>
      <c r="L264" s="5">
        <v>30</v>
      </c>
      <c r="M264" s="5">
        <f>K264 * L264</f>
        <v>60</v>
      </c>
      <c r="N264" s="5">
        <f>M264 * $Q$4</f>
        <v>0.89999999999999991</v>
      </c>
      <c r="O264" s="5">
        <f>M264* $Q$5</f>
        <v>1.2</v>
      </c>
    </row>
    <row r="265" spans="1:15">
      <c r="A265" s="2">
        <v>264</v>
      </c>
      <c r="B265" s="4">
        <f t="shared" si="12"/>
        <v>28</v>
      </c>
      <c r="C265" s="4">
        <f t="shared" si="13"/>
        <v>1</v>
      </c>
      <c r="D265" s="4">
        <f t="shared" si="14"/>
        <v>2023</v>
      </c>
      <c r="E265" s="3">
        <v>44954</v>
      </c>
      <c r="F265" s="4" t="s">
        <v>290</v>
      </c>
      <c r="G265" s="4" t="s">
        <v>16</v>
      </c>
      <c r="H265" s="4" t="str" cm="1">
        <f t="array" ref="H265">_xlfn.IFS(I265&lt;30, "Young Adult", I265&gt;=50, "Senior", I265&gt;=30, "Adult")</f>
        <v>Adult</v>
      </c>
      <c r="I265" s="4">
        <v>47</v>
      </c>
      <c r="J265" s="4" t="s">
        <v>20</v>
      </c>
      <c r="K265" s="4">
        <v>3</v>
      </c>
      <c r="L265" s="5">
        <v>300</v>
      </c>
      <c r="M265" s="5">
        <f>K265 * L265</f>
        <v>900</v>
      </c>
      <c r="N265" s="5">
        <f>M265 * $Q$4</f>
        <v>13.5</v>
      </c>
      <c r="O265" s="5">
        <f>M265* $Q$5</f>
        <v>18</v>
      </c>
    </row>
    <row r="266" spans="1:15">
      <c r="A266" s="2">
        <v>265</v>
      </c>
      <c r="B266" s="4">
        <f t="shared" si="12"/>
        <v>11</v>
      </c>
      <c r="C266" s="4">
        <f t="shared" si="13"/>
        <v>12</v>
      </c>
      <c r="D266" s="4">
        <f t="shared" si="14"/>
        <v>2023</v>
      </c>
      <c r="E266" s="3">
        <v>45271</v>
      </c>
      <c r="F266" s="4" t="s">
        <v>291</v>
      </c>
      <c r="G266" s="4" t="s">
        <v>16</v>
      </c>
      <c r="H266" s="4" t="str" cm="1">
        <f t="array" ref="H266">_xlfn.IFS(I266&lt;30, "Young Adult", I266&gt;=50, "Senior", I266&gt;=30, "Adult")</f>
        <v>Senior</v>
      </c>
      <c r="I266" s="4">
        <v>55</v>
      </c>
      <c r="J266" s="4" t="s">
        <v>20</v>
      </c>
      <c r="K266" s="4">
        <v>3</v>
      </c>
      <c r="L266" s="5">
        <v>300</v>
      </c>
      <c r="M266" s="5">
        <f>K266 * L266</f>
        <v>900</v>
      </c>
      <c r="N266" s="5">
        <f>M266 * $Q$4</f>
        <v>13.5</v>
      </c>
      <c r="O266" s="5">
        <f>M266* $Q$5</f>
        <v>18</v>
      </c>
    </row>
    <row r="267" spans="1:15">
      <c r="A267" s="2">
        <v>266</v>
      </c>
      <c r="B267" s="4">
        <f t="shared" si="12"/>
        <v>1</v>
      </c>
      <c r="C267" s="4">
        <f t="shared" si="13"/>
        <v>12</v>
      </c>
      <c r="D267" s="4">
        <f t="shared" si="14"/>
        <v>2023</v>
      </c>
      <c r="E267" s="3">
        <v>45261</v>
      </c>
      <c r="F267" s="4" t="s">
        <v>292</v>
      </c>
      <c r="G267" s="4" t="s">
        <v>19</v>
      </c>
      <c r="H267" s="4" t="str" cm="1">
        <f t="array" ref="H267">_xlfn.IFS(I267&lt;30, "Young Adult", I267&gt;=50, "Senior", I267&gt;=30, "Adult")</f>
        <v>Young Adult</v>
      </c>
      <c r="I267" s="4">
        <v>19</v>
      </c>
      <c r="J267" s="4" t="s">
        <v>24</v>
      </c>
      <c r="K267" s="4">
        <v>2</v>
      </c>
      <c r="L267" s="5">
        <v>30</v>
      </c>
      <c r="M267" s="5">
        <f>K267 * L267</f>
        <v>60</v>
      </c>
      <c r="N267" s="5">
        <f>M267 * $Q$4</f>
        <v>0.89999999999999991</v>
      </c>
      <c r="O267" s="5">
        <f>M267* $Q$5</f>
        <v>1.2</v>
      </c>
    </row>
    <row r="268" spans="1:15">
      <c r="A268" s="2">
        <v>267</v>
      </c>
      <c r="B268" s="4">
        <f t="shared" si="12"/>
        <v>27</v>
      </c>
      <c r="C268" s="4">
        <f t="shared" si="13"/>
        <v>11</v>
      </c>
      <c r="D268" s="4">
        <f t="shared" si="14"/>
        <v>2023</v>
      </c>
      <c r="E268" s="3">
        <v>45257</v>
      </c>
      <c r="F268" s="4" t="s">
        <v>293</v>
      </c>
      <c r="G268" s="4" t="s">
        <v>19</v>
      </c>
      <c r="H268" s="4" t="str" cm="1">
        <f t="array" ref="H268">_xlfn.IFS(I268&lt;30, "Young Adult", I268&gt;=50, "Senior", I268&gt;=30, "Adult")</f>
        <v>Adult</v>
      </c>
      <c r="I268" s="4">
        <v>32</v>
      </c>
      <c r="J268" s="4" t="s">
        <v>17</v>
      </c>
      <c r="K268" s="4">
        <v>3</v>
      </c>
      <c r="L268" s="5">
        <v>30</v>
      </c>
      <c r="M268" s="5">
        <f>K268 * L268</f>
        <v>90</v>
      </c>
      <c r="N268" s="5">
        <f>M268 * $Q$4</f>
        <v>1.3499999999999999</v>
      </c>
      <c r="O268" s="5">
        <f>M268* $Q$5</f>
        <v>1.8</v>
      </c>
    </row>
    <row r="269" spans="1:15">
      <c r="A269" s="2">
        <v>268</v>
      </c>
      <c r="B269" s="4">
        <f t="shared" si="12"/>
        <v>20</v>
      </c>
      <c r="C269" s="4">
        <f t="shared" si="13"/>
        <v>2</v>
      </c>
      <c r="D269" s="4">
        <f t="shared" si="14"/>
        <v>2023</v>
      </c>
      <c r="E269" s="3">
        <v>44977</v>
      </c>
      <c r="F269" s="4" t="s">
        <v>294</v>
      </c>
      <c r="G269" s="4" t="s">
        <v>19</v>
      </c>
      <c r="H269" s="4" t="str" cm="1">
        <f t="array" ref="H269">_xlfn.IFS(I269&lt;30, "Young Adult", I269&gt;=50, "Senior", I269&gt;=30, "Adult")</f>
        <v>Young Adult</v>
      </c>
      <c r="I269" s="4">
        <v>28</v>
      </c>
      <c r="J269" s="4" t="s">
        <v>24</v>
      </c>
      <c r="K269" s="4">
        <v>1</v>
      </c>
      <c r="L269" s="5">
        <v>30</v>
      </c>
      <c r="M269" s="5">
        <f>K269 * L269</f>
        <v>30</v>
      </c>
      <c r="N269" s="5">
        <f>M269 * $Q$4</f>
        <v>0.44999999999999996</v>
      </c>
      <c r="O269" s="5">
        <f>M269* $Q$5</f>
        <v>0.6</v>
      </c>
    </row>
    <row r="270" spans="1:15">
      <c r="A270" s="2">
        <v>269</v>
      </c>
      <c r="B270" s="4">
        <f t="shared" si="12"/>
        <v>1</v>
      </c>
      <c r="C270" s="4">
        <f t="shared" si="13"/>
        <v>2</v>
      </c>
      <c r="D270" s="4">
        <f t="shared" si="14"/>
        <v>2023</v>
      </c>
      <c r="E270" s="3">
        <v>44958</v>
      </c>
      <c r="F270" s="4" t="s">
        <v>295</v>
      </c>
      <c r="G270" s="4" t="s">
        <v>16</v>
      </c>
      <c r="H270" s="4" t="str" cm="1">
        <f t="array" ref="H270">_xlfn.IFS(I270&lt;30, "Young Adult", I270&gt;=50, "Senior", I270&gt;=30, "Adult")</f>
        <v>Young Adult</v>
      </c>
      <c r="I270" s="4">
        <v>25</v>
      </c>
      <c r="J270" s="4" t="s">
        <v>20</v>
      </c>
      <c r="K270" s="4">
        <v>4</v>
      </c>
      <c r="L270" s="5">
        <v>500</v>
      </c>
      <c r="M270" s="5">
        <f>K270 * L270</f>
        <v>2000</v>
      </c>
      <c r="N270" s="5">
        <f>M270 * $Q$4</f>
        <v>30</v>
      </c>
      <c r="O270" s="5">
        <f>M270* $Q$5</f>
        <v>40</v>
      </c>
    </row>
    <row r="271" spans="1:15">
      <c r="A271" s="2">
        <v>270</v>
      </c>
      <c r="B271" s="4">
        <f t="shared" si="12"/>
        <v>26</v>
      </c>
      <c r="C271" s="4">
        <f t="shared" si="13"/>
        <v>7</v>
      </c>
      <c r="D271" s="4">
        <f t="shared" si="14"/>
        <v>2023</v>
      </c>
      <c r="E271" s="3">
        <v>45133</v>
      </c>
      <c r="F271" s="4" t="s">
        <v>296</v>
      </c>
      <c r="G271" s="4" t="s">
        <v>16</v>
      </c>
      <c r="H271" s="4" t="str" cm="1">
        <f t="array" ref="H271">_xlfn.IFS(I271&lt;30, "Young Adult", I271&gt;=50, "Senior", I271&gt;=30, "Adult")</f>
        <v>Adult</v>
      </c>
      <c r="I271" s="4">
        <v>43</v>
      </c>
      <c r="J271" s="4" t="s">
        <v>24</v>
      </c>
      <c r="K271" s="4">
        <v>1</v>
      </c>
      <c r="L271" s="5">
        <v>300</v>
      </c>
      <c r="M271" s="5">
        <f>K271 * L271</f>
        <v>300</v>
      </c>
      <c r="N271" s="5">
        <f>M271 * $Q$4</f>
        <v>4.5</v>
      </c>
      <c r="O271" s="5">
        <f>M271* $Q$5</f>
        <v>6</v>
      </c>
    </row>
    <row r="272" spans="1:15">
      <c r="A272" s="2">
        <v>271</v>
      </c>
      <c r="B272" s="4">
        <f t="shared" si="12"/>
        <v>23</v>
      </c>
      <c r="C272" s="4">
        <f t="shared" si="13"/>
        <v>6</v>
      </c>
      <c r="D272" s="4">
        <f t="shared" si="14"/>
        <v>2023</v>
      </c>
      <c r="E272" s="3">
        <v>45100</v>
      </c>
      <c r="F272" s="4" t="s">
        <v>297</v>
      </c>
      <c r="G272" s="4" t="s">
        <v>19</v>
      </c>
      <c r="H272" s="4" t="str" cm="1">
        <f t="array" ref="H272">_xlfn.IFS(I272&lt;30, "Young Adult", I272&gt;=50, "Senior", I272&gt;=30, "Adult")</f>
        <v>Senior</v>
      </c>
      <c r="I272" s="4">
        <v>62</v>
      </c>
      <c r="J272" s="4" t="s">
        <v>17</v>
      </c>
      <c r="K272" s="4">
        <v>4</v>
      </c>
      <c r="L272" s="5">
        <v>30</v>
      </c>
      <c r="M272" s="5">
        <f>K272 * L272</f>
        <v>120</v>
      </c>
      <c r="N272" s="5">
        <f>M272 * $Q$4</f>
        <v>1.7999999999999998</v>
      </c>
      <c r="O272" s="5">
        <f>M272* $Q$5</f>
        <v>2.4</v>
      </c>
    </row>
    <row r="273" spans="1:15">
      <c r="A273" s="2">
        <v>272</v>
      </c>
      <c r="B273" s="4">
        <f t="shared" si="12"/>
        <v>25</v>
      </c>
      <c r="C273" s="4">
        <f t="shared" si="13"/>
        <v>2</v>
      </c>
      <c r="D273" s="4">
        <f t="shared" si="14"/>
        <v>2023</v>
      </c>
      <c r="E273" s="3">
        <v>44982</v>
      </c>
      <c r="F273" s="4" t="s">
        <v>298</v>
      </c>
      <c r="G273" s="4" t="s">
        <v>19</v>
      </c>
      <c r="H273" s="4" t="str" cm="1">
        <f t="array" ref="H273">_xlfn.IFS(I273&lt;30, "Young Adult", I273&gt;=50, "Senior", I273&gt;=30, "Adult")</f>
        <v>Senior</v>
      </c>
      <c r="I273" s="4">
        <v>61</v>
      </c>
      <c r="J273" s="4" t="s">
        <v>24</v>
      </c>
      <c r="K273" s="4">
        <v>2</v>
      </c>
      <c r="L273" s="5">
        <v>50</v>
      </c>
      <c r="M273" s="5">
        <f>K273 * L273</f>
        <v>100</v>
      </c>
      <c r="N273" s="5">
        <f>M273 * $Q$4</f>
        <v>1.5</v>
      </c>
      <c r="O273" s="5">
        <f>M273* $Q$5</f>
        <v>2</v>
      </c>
    </row>
    <row r="274" spans="1:15">
      <c r="A274" s="2">
        <v>273</v>
      </c>
      <c r="B274" s="4">
        <f t="shared" si="12"/>
        <v>8</v>
      </c>
      <c r="C274" s="4">
        <f t="shared" si="13"/>
        <v>5</v>
      </c>
      <c r="D274" s="4">
        <f t="shared" si="14"/>
        <v>2023</v>
      </c>
      <c r="E274" s="3">
        <v>45054</v>
      </c>
      <c r="F274" s="4" t="s">
        <v>299</v>
      </c>
      <c r="G274" s="4" t="s">
        <v>19</v>
      </c>
      <c r="H274" s="4" t="str" cm="1">
        <f t="array" ref="H274">_xlfn.IFS(I274&lt;30, "Young Adult", I274&gt;=50, "Senior", I274&gt;=30, "Adult")</f>
        <v>Young Adult</v>
      </c>
      <c r="I274" s="4">
        <v>22</v>
      </c>
      <c r="J274" s="4" t="s">
        <v>17</v>
      </c>
      <c r="K274" s="4">
        <v>1</v>
      </c>
      <c r="L274" s="5">
        <v>50</v>
      </c>
      <c r="M274" s="5">
        <f>K274 * L274</f>
        <v>50</v>
      </c>
      <c r="N274" s="5">
        <f>M274 * $Q$4</f>
        <v>0.75</v>
      </c>
      <c r="O274" s="5">
        <f>M274* $Q$5</f>
        <v>1</v>
      </c>
    </row>
    <row r="275" spans="1:15">
      <c r="A275" s="2">
        <v>274</v>
      </c>
      <c r="B275" s="4">
        <f t="shared" si="12"/>
        <v>9</v>
      </c>
      <c r="C275" s="4">
        <f t="shared" si="13"/>
        <v>4</v>
      </c>
      <c r="D275" s="4">
        <f t="shared" si="14"/>
        <v>2023</v>
      </c>
      <c r="E275" s="3">
        <v>45025</v>
      </c>
      <c r="F275" s="4" t="s">
        <v>300</v>
      </c>
      <c r="G275" s="4" t="s">
        <v>19</v>
      </c>
      <c r="H275" s="4" t="str" cm="1">
        <f t="array" ref="H275">_xlfn.IFS(I275&lt;30, "Young Adult", I275&gt;=50, "Senior", I275&gt;=30, "Adult")</f>
        <v>Young Adult</v>
      </c>
      <c r="I275" s="4">
        <v>23</v>
      </c>
      <c r="J275" s="4" t="s">
        <v>20</v>
      </c>
      <c r="K275" s="4">
        <v>2</v>
      </c>
      <c r="L275" s="5">
        <v>500</v>
      </c>
      <c r="M275" s="5">
        <f>K275 * L275</f>
        <v>1000</v>
      </c>
      <c r="N275" s="5">
        <f>M275 * $Q$4</f>
        <v>15</v>
      </c>
      <c r="O275" s="5">
        <f>M275* $Q$5</f>
        <v>20</v>
      </c>
    </row>
    <row r="276" spans="1:15">
      <c r="A276" s="2">
        <v>275</v>
      </c>
      <c r="B276" s="4">
        <f t="shared" si="12"/>
        <v>8</v>
      </c>
      <c r="C276" s="4">
        <f t="shared" si="13"/>
        <v>4</v>
      </c>
      <c r="D276" s="4">
        <f t="shared" si="14"/>
        <v>2023</v>
      </c>
      <c r="E276" s="3">
        <v>45024</v>
      </c>
      <c r="F276" s="4" t="s">
        <v>301</v>
      </c>
      <c r="G276" s="4" t="s">
        <v>16</v>
      </c>
      <c r="H276" s="4" t="str" cm="1">
        <f t="array" ref="H276">_xlfn.IFS(I276&lt;30, "Young Adult", I276&gt;=50, "Senior", I276&gt;=30, "Adult")</f>
        <v>Adult</v>
      </c>
      <c r="I276" s="4">
        <v>43</v>
      </c>
      <c r="J276" s="4" t="s">
        <v>20</v>
      </c>
      <c r="K276" s="4">
        <v>2</v>
      </c>
      <c r="L276" s="5">
        <v>500</v>
      </c>
      <c r="M276" s="5">
        <f>K276 * L276</f>
        <v>1000</v>
      </c>
      <c r="N276" s="5">
        <f>M276 * $Q$4</f>
        <v>15</v>
      </c>
      <c r="O276" s="5">
        <f>M276* $Q$5</f>
        <v>20</v>
      </c>
    </row>
    <row r="277" spans="1:15">
      <c r="A277" s="2">
        <v>276</v>
      </c>
      <c r="B277" s="4">
        <f t="shared" si="12"/>
        <v>2</v>
      </c>
      <c r="C277" s="4">
        <f t="shared" si="13"/>
        <v>10</v>
      </c>
      <c r="D277" s="4">
        <f t="shared" si="14"/>
        <v>2023</v>
      </c>
      <c r="E277" s="3">
        <v>45201</v>
      </c>
      <c r="F277" s="4" t="s">
        <v>302</v>
      </c>
      <c r="G277" s="4" t="s">
        <v>19</v>
      </c>
      <c r="H277" s="4" t="str" cm="1">
        <f t="array" ref="H277">_xlfn.IFS(I277&lt;30, "Young Adult", I277&gt;=50, "Senior", I277&gt;=30, "Adult")</f>
        <v>Young Adult</v>
      </c>
      <c r="I277" s="4">
        <v>21</v>
      </c>
      <c r="J277" s="4" t="s">
        <v>17</v>
      </c>
      <c r="K277" s="4">
        <v>4</v>
      </c>
      <c r="L277" s="5">
        <v>25</v>
      </c>
      <c r="M277" s="5">
        <f>K277 * L277</f>
        <v>100</v>
      </c>
      <c r="N277" s="5">
        <f>M277 * $Q$4</f>
        <v>1.5</v>
      </c>
      <c r="O277" s="5">
        <f>M277* $Q$5</f>
        <v>2</v>
      </c>
    </row>
    <row r="278" spans="1:15">
      <c r="A278" s="2">
        <v>277</v>
      </c>
      <c r="B278" s="4">
        <f t="shared" si="12"/>
        <v>18</v>
      </c>
      <c r="C278" s="4">
        <f t="shared" si="13"/>
        <v>8</v>
      </c>
      <c r="D278" s="4">
        <f t="shared" si="14"/>
        <v>2023</v>
      </c>
      <c r="E278" s="3">
        <v>45156</v>
      </c>
      <c r="F278" s="4" t="s">
        <v>303</v>
      </c>
      <c r="G278" s="4" t="s">
        <v>16</v>
      </c>
      <c r="H278" s="4" t="str" cm="1">
        <f t="array" ref="H278">_xlfn.IFS(I278&lt;30, "Young Adult", I278&gt;=50, "Senior", I278&gt;=30, "Adult")</f>
        <v>Adult</v>
      </c>
      <c r="I278" s="4">
        <v>36</v>
      </c>
      <c r="J278" s="4" t="s">
        <v>20</v>
      </c>
      <c r="K278" s="4">
        <v>4</v>
      </c>
      <c r="L278" s="5">
        <v>25</v>
      </c>
      <c r="M278" s="5">
        <f>K278 * L278</f>
        <v>100</v>
      </c>
      <c r="N278" s="5">
        <f>M278 * $Q$4</f>
        <v>1.5</v>
      </c>
      <c r="O278" s="5">
        <f>M278* $Q$5</f>
        <v>2</v>
      </c>
    </row>
    <row r="279" spans="1:15">
      <c r="A279" s="2">
        <v>278</v>
      </c>
      <c r="B279" s="4">
        <f t="shared" si="12"/>
        <v>13</v>
      </c>
      <c r="C279" s="4">
        <f t="shared" si="13"/>
        <v>3</v>
      </c>
      <c r="D279" s="4">
        <f t="shared" si="14"/>
        <v>2023</v>
      </c>
      <c r="E279" s="3">
        <v>44998</v>
      </c>
      <c r="F279" s="4" t="s">
        <v>304</v>
      </c>
      <c r="G279" s="4" t="s">
        <v>19</v>
      </c>
      <c r="H279" s="4" t="str" cm="1">
        <f t="array" ref="H279">_xlfn.IFS(I279&lt;30, "Young Adult", I279&gt;=50, "Senior", I279&gt;=30, "Adult")</f>
        <v>Adult</v>
      </c>
      <c r="I279" s="4">
        <v>37</v>
      </c>
      <c r="J279" s="4" t="s">
        <v>20</v>
      </c>
      <c r="K279" s="4">
        <v>4</v>
      </c>
      <c r="L279" s="5">
        <v>25</v>
      </c>
      <c r="M279" s="5">
        <f>K279 * L279</f>
        <v>100</v>
      </c>
      <c r="N279" s="5">
        <f>M279 * $Q$4</f>
        <v>1.5</v>
      </c>
      <c r="O279" s="5">
        <f>M279* $Q$5</f>
        <v>2</v>
      </c>
    </row>
    <row r="280" spans="1:15">
      <c r="A280" s="2">
        <v>279</v>
      </c>
      <c r="B280" s="4">
        <f t="shared" si="12"/>
        <v>5</v>
      </c>
      <c r="C280" s="4">
        <f t="shared" si="13"/>
        <v>8</v>
      </c>
      <c r="D280" s="4">
        <f t="shared" si="14"/>
        <v>2023</v>
      </c>
      <c r="E280" s="3">
        <v>45143</v>
      </c>
      <c r="F280" s="4" t="s">
        <v>305</v>
      </c>
      <c r="G280" s="4" t="s">
        <v>16</v>
      </c>
      <c r="H280" s="4" t="str" cm="1">
        <f t="array" ref="H280">_xlfn.IFS(I280&lt;30, "Young Adult", I280&gt;=50, "Senior", I280&gt;=30, "Adult")</f>
        <v>Senior</v>
      </c>
      <c r="I280" s="4">
        <v>50</v>
      </c>
      <c r="J280" s="4" t="s">
        <v>20</v>
      </c>
      <c r="K280" s="4">
        <v>1</v>
      </c>
      <c r="L280" s="5">
        <v>500</v>
      </c>
      <c r="M280" s="5">
        <f>K280 * L280</f>
        <v>500</v>
      </c>
      <c r="N280" s="5">
        <f>M280 * $Q$4</f>
        <v>7.5</v>
      </c>
      <c r="O280" s="5">
        <f>M280* $Q$5</f>
        <v>10</v>
      </c>
    </row>
    <row r="281" spans="1:15">
      <c r="A281" s="2">
        <v>280</v>
      </c>
      <c r="B281" s="4">
        <f t="shared" si="12"/>
        <v>4</v>
      </c>
      <c r="C281" s="4">
        <f t="shared" si="13"/>
        <v>4</v>
      </c>
      <c r="D281" s="4">
        <f t="shared" si="14"/>
        <v>2023</v>
      </c>
      <c r="E281" s="3">
        <v>45020</v>
      </c>
      <c r="F281" s="4" t="s">
        <v>306</v>
      </c>
      <c r="G281" s="4" t="s">
        <v>19</v>
      </c>
      <c r="H281" s="4" t="str" cm="1">
        <f t="array" ref="H281">_xlfn.IFS(I281&lt;30, "Young Adult", I281&gt;=50, "Senior", I281&gt;=30, "Adult")</f>
        <v>Adult</v>
      </c>
      <c r="I281" s="4">
        <v>37</v>
      </c>
      <c r="J281" s="4" t="s">
        <v>20</v>
      </c>
      <c r="K281" s="4">
        <v>3</v>
      </c>
      <c r="L281" s="5">
        <v>500</v>
      </c>
      <c r="M281" s="5">
        <f>K281 * L281</f>
        <v>1500</v>
      </c>
      <c r="N281" s="5">
        <f>M281 * $Q$4</f>
        <v>22.5</v>
      </c>
      <c r="O281" s="5">
        <f>M281* $Q$5</f>
        <v>30</v>
      </c>
    </row>
    <row r="282" spans="1:15">
      <c r="A282" s="2">
        <v>281</v>
      </c>
      <c r="B282" s="4">
        <f t="shared" si="12"/>
        <v>23</v>
      </c>
      <c r="C282" s="4">
        <f t="shared" si="13"/>
        <v>5</v>
      </c>
      <c r="D282" s="4">
        <f t="shared" si="14"/>
        <v>2023</v>
      </c>
      <c r="E282" s="3">
        <v>45069</v>
      </c>
      <c r="F282" s="4" t="s">
        <v>307</v>
      </c>
      <c r="G282" s="4" t="s">
        <v>19</v>
      </c>
      <c r="H282" s="4" t="str" cm="1">
        <f t="array" ref="H282">_xlfn.IFS(I282&lt;30, "Young Adult", I282&gt;=50, "Senior", I282&gt;=30, "Adult")</f>
        <v>Young Adult</v>
      </c>
      <c r="I282" s="4">
        <v>29</v>
      </c>
      <c r="J282" s="4" t="s">
        <v>17</v>
      </c>
      <c r="K282" s="4">
        <v>4</v>
      </c>
      <c r="L282" s="5">
        <v>500</v>
      </c>
      <c r="M282" s="5">
        <f>K282 * L282</f>
        <v>2000</v>
      </c>
      <c r="N282" s="5">
        <f>M282 * $Q$4</f>
        <v>30</v>
      </c>
      <c r="O282" s="5">
        <f>M282* $Q$5</f>
        <v>40</v>
      </c>
    </row>
    <row r="283" spans="1:15">
      <c r="A283" s="2">
        <v>282</v>
      </c>
      <c r="B283" s="4">
        <f t="shared" si="12"/>
        <v>25</v>
      </c>
      <c r="C283" s="4">
        <f t="shared" si="13"/>
        <v>8</v>
      </c>
      <c r="D283" s="4">
        <f t="shared" si="14"/>
        <v>2023</v>
      </c>
      <c r="E283" s="3">
        <v>45163</v>
      </c>
      <c r="F283" s="4" t="s">
        <v>308</v>
      </c>
      <c r="G283" s="4" t="s">
        <v>19</v>
      </c>
      <c r="H283" s="4" t="str" cm="1">
        <f t="array" ref="H283">_xlfn.IFS(I283&lt;30, "Young Adult", I283&gt;=50, "Senior", I283&gt;=30, "Adult")</f>
        <v>Senior</v>
      </c>
      <c r="I283" s="4">
        <v>64</v>
      </c>
      <c r="J283" s="4" t="s">
        <v>24</v>
      </c>
      <c r="K283" s="4">
        <v>4</v>
      </c>
      <c r="L283" s="5">
        <v>50</v>
      </c>
      <c r="M283" s="5">
        <f>K283 * L283</f>
        <v>200</v>
      </c>
      <c r="N283" s="5">
        <f>M283 * $Q$4</f>
        <v>3</v>
      </c>
      <c r="O283" s="5">
        <f>M283* $Q$5</f>
        <v>4</v>
      </c>
    </row>
    <row r="284" spans="1:15">
      <c r="A284" s="2">
        <v>283</v>
      </c>
      <c r="B284" s="4">
        <f t="shared" si="12"/>
        <v>8</v>
      </c>
      <c r="C284" s="4">
        <f t="shared" si="13"/>
        <v>5</v>
      </c>
      <c r="D284" s="4">
        <f t="shared" si="14"/>
        <v>2023</v>
      </c>
      <c r="E284" s="3">
        <v>45054</v>
      </c>
      <c r="F284" s="4" t="s">
        <v>309</v>
      </c>
      <c r="G284" s="4" t="s">
        <v>19</v>
      </c>
      <c r="H284" s="4" t="str" cm="1">
        <f t="array" ref="H284">_xlfn.IFS(I284&lt;30, "Young Adult", I284&gt;=50, "Senior", I284&gt;=30, "Adult")</f>
        <v>Young Adult</v>
      </c>
      <c r="I284" s="4">
        <v>18</v>
      </c>
      <c r="J284" s="4" t="s">
        <v>24</v>
      </c>
      <c r="K284" s="4">
        <v>1</v>
      </c>
      <c r="L284" s="5">
        <v>500</v>
      </c>
      <c r="M284" s="5">
        <f>K284 * L284</f>
        <v>500</v>
      </c>
      <c r="N284" s="5">
        <f>M284 * $Q$4</f>
        <v>7.5</v>
      </c>
      <c r="O284" s="5">
        <f>M284* $Q$5</f>
        <v>10</v>
      </c>
    </row>
    <row r="285" spans="1:15">
      <c r="A285" s="2">
        <v>284</v>
      </c>
      <c r="B285" s="4">
        <f t="shared" si="12"/>
        <v>8</v>
      </c>
      <c r="C285" s="4">
        <f t="shared" si="13"/>
        <v>2</v>
      </c>
      <c r="D285" s="4">
        <f t="shared" si="14"/>
        <v>2023</v>
      </c>
      <c r="E285" s="3">
        <v>44965</v>
      </c>
      <c r="F285" s="4" t="s">
        <v>310</v>
      </c>
      <c r="G285" s="4" t="s">
        <v>16</v>
      </c>
      <c r="H285" s="4" t="str" cm="1">
        <f t="array" ref="H285">_xlfn.IFS(I285&lt;30, "Young Adult", I285&gt;=50, "Senior", I285&gt;=30, "Adult")</f>
        <v>Adult</v>
      </c>
      <c r="I285" s="4">
        <v>43</v>
      </c>
      <c r="J285" s="4" t="s">
        <v>20</v>
      </c>
      <c r="K285" s="4">
        <v>4</v>
      </c>
      <c r="L285" s="5">
        <v>50</v>
      </c>
      <c r="M285" s="5">
        <f>K285 * L285</f>
        <v>200</v>
      </c>
      <c r="N285" s="5">
        <f>M285 * $Q$4</f>
        <v>3</v>
      </c>
      <c r="O285" s="5">
        <f>M285* $Q$5</f>
        <v>4</v>
      </c>
    </row>
    <row r="286" spans="1:15">
      <c r="A286" s="2">
        <v>285</v>
      </c>
      <c r="B286" s="4">
        <f t="shared" si="12"/>
        <v>15</v>
      </c>
      <c r="C286" s="4">
        <f t="shared" si="13"/>
        <v>8</v>
      </c>
      <c r="D286" s="4">
        <f t="shared" si="14"/>
        <v>2023</v>
      </c>
      <c r="E286" s="3">
        <v>45153</v>
      </c>
      <c r="F286" s="4" t="s">
        <v>311</v>
      </c>
      <c r="G286" s="4" t="s">
        <v>19</v>
      </c>
      <c r="H286" s="4" t="str" cm="1">
        <f t="array" ref="H286">_xlfn.IFS(I286&lt;30, "Young Adult", I286&gt;=50, "Senior", I286&gt;=30, "Adult")</f>
        <v>Adult</v>
      </c>
      <c r="I286" s="4">
        <v>31</v>
      </c>
      <c r="J286" s="4" t="s">
        <v>24</v>
      </c>
      <c r="K286" s="4">
        <v>1</v>
      </c>
      <c r="L286" s="5">
        <v>25</v>
      </c>
      <c r="M286" s="5">
        <f>K286 * L286</f>
        <v>25</v>
      </c>
      <c r="N286" s="5">
        <f>M286 * $Q$4</f>
        <v>0.375</v>
      </c>
      <c r="O286" s="5">
        <f>M286* $Q$5</f>
        <v>0.5</v>
      </c>
    </row>
    <row r="287" spans="1:15">
      <c r="A287" s="2">
        <v>286</v>
      </c>
      <c r="B287" s="4">
        <f t="shared" si="12"/>
        <v>9</v>
      </c>
      <c r="C287" s="4">
        <f t="shared" si="13"/>
        <v>10</v>
      </c>
      <c r="D287" s="4">
        <f t="shared" si="14"/>
        <v>2023</v>
      </c>
      <c r="E287" s="3">
        <v>45208</v>
      </c>
      <c r="F287" s="4" t="s">
        <v>312</v>
      </c>
      <c r="G287" s="4" t="s">
        <v>16</v>
      </c>
      <c r="H287" s="4" t="str" cm="1">
        <f t="array" ref="H287">_xlfn.IFS(I287&lt;30, "Young Adult", I287&gt;=50, "Senior", I287&gt;=30, "Adult")</f>
        <v>Senior</v>
      </c>
      <c r="I287" s="4">
        <v>55</v>
      </c>
      <c r="J287" s="4" t="s">
        <v>24</v>
      </c>
      <c r="K287" s="4">
        <v>2</v>
      </c>
      <c r="L287" s="5">
        <v>25</v>
      </c>
      <c r="M287" s="5">
        <f>K287 * L287</f>
        <v>50</v>
      </c>
      <c r="N287" s="5">
        <f>M287 * $Q$4</f>
        <v>0.75</v>
      </c>
      <c r="O287" s="5">
        <f>M287* $Q$5</f>
        <v>1</v>
      </c>
    </row>
    <row r="288" spans="1:15">
      <c r="A288" s="2">
        <v>287</v>
      </c>
      <c r="B288" s="4">
        <f t="shared" si="12"/>
        <v>20</v>
      </c>
      <c r="C288" s="4">
        <f t="shared" si="13"/>
        <v>2</v>
      </c>
      <c r="D288" s="4">
        <f t="shared" si="14"/>
        <v>2023</v>
      </c>
      <c r="E288" s="3">
        <v>44977</v>
      </c>
      <c r="F288" s="4" t="s">
        <v>313</v>
      </c>
      <c r="G288" s="4" t="s">
        <v>16</v>
      </c>
      <c r="H288" s="4" t="str" cm="1">
        <f t="array" ref="H288">_xlfn.IFS(I288&lt;30, "Young Adult", I288&gt;=50, "Senior", I288&gt;=30, "Adult")</f>
        <v>Senior</v>
      </c>
      <c r="I288" s="4">
        <v>54</v>
      </c>
      <c r="J288" s="4" t="s">
        <v>20</v>
      </c>
      <c r="K288" s="4">
        <v>4</v>
      </c>
      <c r="L288" s="5">
        <v>25</v>
      </c>
      <c r="M288" s="5">
        <f>K288 * L288</f>
        <v>100</v>
      </c>
      <c r="N288" s="5">
        <f>M288 * $Q$4</f>
        <v>1.5</v>
      </c>
      <c r="O288" s="5">
        <f>M288* $Q$5</f>
        <v>2</v>
      </c>
    </row>
    <row r="289" spans="1:15">
      <c r="A289" s="2">
        <v>288</v>
      </c>
      <c r="B289" s="4">
        <f t="shared" si="12"/>
        <v>26</v>
      </c>
      <c r="C289" s="4">
        <f t="shared" si="13"/>
        <v>1</v>
      </c>
      <c r="D289" s="4">
        <f t="shared" si="14"/>
        <v>2023</v>
      </c>
      <c r="E289" s="3">
        <v>44952</v>
      </c>
      <c r="F289" s="4" t="s">
        <v>314</v>
      </c>
      <c r="G289" s="4" t="s">
        <v>16</v>
      </c>
      <c r="H289" s="4" t="str" cm="1">
        <f t="array" ref="H289">_xlfn.IFS(I289&lt;30, "Young Adult", I289&gt;=50, "Senior", I289&gt;=30, "Adult")</f>
        <v>Young Adult</v>
      </c>
      <c r="I289" s="4">
        <v>28</v>
      </c>
      <c r="J289" s="4" t="s">
        <v>20</v>
      </c>
      <c r="K289" s="4">
        <v>4</v>
      </c>
      <c r="L289" s="5">
        <v>30</v>
      </c>
      <c r="M289" s="5">
        <f>K289 * L289</f>
        <v>120</v>
      </c>
      <c r="N289" s="5">
        <f>M289 * $Q$4</f>
        <v>1.7999999999999998</v>
      </c>
      <c r="O289" s="5">
        <f>M289* $Q$5</f>
        <v>2.4</v>
      </c>
    </row>
    <row r="290" spans="1:15">
      <c r="A290" s="2">
        <v>289</v>
      </c>
      <c r="B290" s="4">
        <f t="shared" si="12"/>
        <v>30</v>
      </c>
      <c r="C290" s="4">
        <f t="shared" si="13"/>
        <v>11</v>
      </c>
      <c r="D290" s="4">
        <f t="shared" si="14"/>
        <v>2023</v>
      </c>
      <c r="E290" s="3">
        <v>45260</v>
      </c>
      <c r="F290" s="4" t="s">
        <v>315</v>
      </c>
      <c r="G290" s="4" t="s">
        <v>16</v>
      </c>
      <c r="H290" s="4" t="str" cm="1">
        <f t="array" ref="H290">_xlfn.IFS(I290&lt;30, "Young Adult", I290&gt;=50, "Senior", I290&gt;=30, "Adult")</f>
        <v>Senior</v>
      </c>
      <c r="I290" s="4">
        <v>53</v>
      </c>
      <c r="J290" s="4" t="s">
        <v>24</v>
      </c>
      <c r="K290" s="4">
        <v>2</v>
      </c>
      <c r="L290" s="5">
        <v>30</v>
      </c>
      <c r="M290" s="5">
        <f>K290 * L290</f>
        <v>60</v>
      </c>
      <c r="N290" s="5">
        <f>M290 * $Q$4</f>
        <v>0.89999999999999991</v>
      </c>
      <c r="O290" s="5">
        <f>M290* $Q$5</f>
        <v>1.2</v>
      </c>
    </row>
    <row r="291" spans="1:15">
      <c r="A291" s="2">
        <v>290</v>
      </c>
      <c r="B291" s="4">
        <f t="shared" si="12"/>
        <v>4</v>
      </c>
      <c r="C291" s="4">
        <f t="shared" si="13"/>
        <v>10</v>
      </c>
      <c r="D291" s="4">
        <f t="shared" si="14"/>
        <v>2023</v>
      </c>
      <c r="E291" s="3">
        <v>45203</v>
      </c>
      <c r="F291" s="4" t="s">
        <v>316</v>
      </c>
      <c r="G291" s="4" t="s">
        <v>19</v>
      </c>
      <c r="H291" s="4" t="str" cm="1">
        <f t="array" ref="H291">_xlfn.IFS(I291&lt;30, "Young Adult", I291&gt;=50, "Senior", I291&gt;=30, "Adult")</f>
        <v>Adult</v>
      </c>
      <c r="I291" s="4">
        <v>30</v>
      </c>
      <c r="J291" s="4" t="s">
        <v>17</v>
      </c>
      <c r="K291" s="4">
        <v>2</v>
      </c>
      <c r="L291" s="5">
        <v>300</v>
      </c>
      <c r="M291" s="5">
        <f>K291 * L291</f>
        <v>600</v>
      </c>
      <c r="N291" s="5">
        <f>M291 * $Q$4</f>
        <v>9</v>
      </c>
      <c r="O291" s="5">
        <f>M291* $Q$5</f>
        <v>12</v>
      </c>
    </row>
    <row r="292" spans="1:15">
      <c r="A292" s="2">
        <v>291</v>
      </c>
      <c r="B292" s="4">
        <f t="shared" si="12"/>
        <v>8</v>
      </c>
      <c r="C292" s="4">
        <f t="shared" si="13"/>
        <v>1</v>
      </c>
      <c r="D292" s="4">
        <f t="shared" si="14"/>
        <v>2023</v>
      </c>
      <c r="E292" s="3">
        <v>44934</v>
      </c>
      <c r="F292" s="4" t="s">
        <v>317</v>
      </c>
      <c r="G292" s="4" t="s">
        <v>16</v>
      </c>
      <c r="H292" s="4" t="str" cm="1">
        <f t="array" ref="H292">_xlfn.IFS(I292&lt;30, "Young Adult", I292&gt;=50, "Senior", I292&gt;=30, "Adult")</f>
        <v>Senior</v>
      </c>
      <c r="I292" s="4">
        <v>60</v>
      </c>
      <c r="J292" s="4" t="s">
        <v>20</v>
      </c>
      <c r="K292" s="4">
        <v>2</v>
      </c>
      <c r="L292" s="5">
        <v>300</v>
      </c>
      <c r="M292" s="5">
        <f>K292 * L292</f>
        <v>600</v>
      </c>
      <c r="N292" s="5">
        <f>M292 * $Q$4</f>
        <v>9</v>
      </c>
      <c r="O292" s="5">
        <f>M292* $Q$5</f>
        <v>12</v>
      </c>
    </row>
    <row r="293" spans="1:15">
      <c r="A293" s="2">
        <v>292</v>
      </c>
      <c r="B293" s="4">
        <f t="shared" si="12"/>
        <v>17</v>
      </c>
      <c r="C293" s="4">
        <f t="shared" si="13"/>
        <v>2</v>
      </c>
      <c r="D293" s="4">
        <f t="shared" si="14"/>
        <v>2023</v>
      </c>
      <c r="E293" s="3">
        <v>44974</v>
      </c>
      <c r="F293" s="4" t="s">
        <v>318</v>
      </c>
      <c r="G293" s="4" t="s">
        <v>16</v>
      </c>
      <c r="H293" s="4" t="str" cm="1">
        <f t="array" ref="H293">_xlfn.IFS(I293&lt;30, "Young Adult", I293&gt;=50, "Senior", I293&gt;=30, "Adult")</f>
        <v>Young Adult</v>
      </c>
      <c r="I293" s="4">
        <v>20</v>
      </c>
      <c r="J293" s="4" t="s">
        <v>17</v>
      </c>
      <c r="K293" s="4">
        <v>4</v>
      </c>
      <c r="L293" s="5">
        <v>300</v>
      </c>
      <c r="M293" s="5">
        <f>K293 * L293</f>
        <v>1200</v>
      </c>
      <c r="N293" s="5">
        <f>M293 * $Q$4</f>
        <v>18</v>
      </c>
      <c r="O293" s="5">
        <f>M293* $Q$5</f>
        <v>24</v>
      </c>
    </row>
    <row r="294" spans="1:15">
      <c r="A294" s="2">
        <v>293</v>
      </c>
      <c r="B294" s="4">
        <f t="shared" si="12"/>
        <v>2</v>
      </c>
      <c r="C294" s="4">
        <f t="shared" si="13"/>
        <v>5</v>
      </c>
      <c r="D294" s="4">
        <f t="shared" si="14"/>
        <v>2023</v>
      </c>
      <c r="E294" s="3">
        <v>45048</v>
      </c>
      <c r="F294" s="4" t="s">
        <v>319</v>
      </c>
      <c r="G294" s="4" t="s">
        <v>16</v>
      </c>
      <c r="H294" s="4" t="str" cm="1">
        <f t="array" ref="H294">_xlfn.IFS(I294&lt;30, "Young Adult", I294&gt;=50, "Senior", I294&gt;=30, "Adult")</f>
        <v>Senior</v>
      </c>
      <c r="I294" s="4">
        <v>50</v>
      </c>
      <c r="J294" s="4" t="s">
        <v>24</v>
      </c>
      <c r="K294" s="4">
        <v>3</v>
      </c>
      <c r="L294" s="5">
        <v>30</v>
      </c>
      <c r="M294" s="5">
        <f>K294 * L294</f>
        <v>90</v>
      </c>
      <c r="N294" s="5">
        <f>M294 * $Q$4</f>
        <v>1.3499999999999999</v>
      </c>
      <c r="O294" s="5">
        <f>M294* $Q$5</f>
        <v>1.8</v>
      </c>
    </row>
    <row r="295" spans="1:15">
      <c r="A295" s="2">
        <v>294</v>
      </c>
      <c r="B295" s="4">
        <f t="shared" si="12"/>
        <v>27</v>
      </c>
      <c r="C295" s="4">
        <f t="shared" si="13"/>
        <v>3</v>
      </c>
      <c r="D295" s="4">
        <f t="shared" si="14"/>
        <v>2023</v>
      </c>
      <c r="E295" s="3">
        <v>45012</v>
      </c>
      <c r="F295" s="4" t="s">
        <v>320</v>
      </c>
      <c r="G295" s="4" t="s">
        <v>19</v>
      </c>
      <c r="H295" s="4" t="str" cm="1">
        <f t="array" ref="H295">_xlfn.IFS(I295&lt;30, "Young Adult", I295&gt;=50, "Senior", I295&gt;=30, "Adult")</f>
        <v>Young Adult</v>
      </c>
      <c r="I295" s="4">
        <v>23</v>
      </c>
      <c r="J295" s="4" t="s">
        <v>20</v>
      </c>
      <c r="K295" s="4">
        <v>3</v>
      </c>
      <c r="L295" s="5">
        <v>30</v>
      </c>
      <c r="M295" s="5">
        <f>K295 * L295</f>
        <v>90</v>
      </c>
      <c r="N295" s="5">
        <f>M295 * $Q$4</f>
        <v>1.3499999999999999</v>
      </c>
      <c r="O295" s="5">
        <f>M295* $Q$5</f>
        <v>1.8</v>
      </c>
    </row>
    <row r="296" spans="1:15">
      <c r="A296" s="2">
        <v>295</v>
      </c>
      <c r="B296" s="4">
        <f t="shared" si="12"/>
        <v>28</v>
      </c>
      <c r="C296" s="4">
        <f t="shared" si="13"/>
        <v>7</v>
      </c>
      <c r="D296" s="4">
        <f t="shared" si="14"/>
        <v>2023</v>
      </c>
      <c r="E296" s="3">
        <v>45135</v>
      </c>
      <c r="F296" s="4" t="s">
        <v>321</v>
      </c>
      <c r="G296" s="4" t="s">
        <v>19</v>
      </c>
      <c r="H296" s="4" t="str" cm="1">
        <f t="array" ref="H296">_xlfn.IFS(I296&lt;30, "Young Adult", I296&gt;=50, "Senior", I296&gt;=30, "Adult")</f>
        <v>Young Adult</v>
      </c>
      <c r="I296" s="4">
        <v>27</v>
      </c>
      <c r="J296" s="4" t="s">
        <v>17</v>
      </c>
      <c r="K296" s="4">
        <v>3</v>
      </c>
      <c r="L296" s="5">
        <v>300</v>
      </c>
      <c r="M296" s="5">
        <f>K296 * L296</f>
        <v>900</v>
      </c>
      <c r="N296" s="5">
        <f>M296 * $Q$4</f>
        <v>13.5</v>
      </c>
      <c r="O296" s="5">
        <f>M296* $Q$5</f>
        <v>18</v>
      </c>
    </row>
    <row r="297" spans="1:15">
      <c r="A297" s="2">
        <v>296</v>
      </c>
      <c r="B297" s="4">
        <f t="shared" si="12"/>
        <v>6</v>
      </c>
      <c r="C297" s="4">
        <f t="shared" si="13"/>
        <v>9</v>
      </c>
      <c r="D297" s="4">
        <f t="shared" si="14"/>
        <v>2023</v>
      </c>
      <c r="E297" s="3">
        <v>45175</v>
      </c>
      <c r="F297" s="4" t="s">
        <v>322</v>
      </c>
      <c r="G297" s="4" t="s">
        <v>19</v>
      </c>
      <c r="H297" s="4" t="str" cm="1">
        <f t="array" ref="H297">_xlfn.IFS(I297&lt;30, "Young Adult", I297&gt;=50, "Senior", I297&gt;=30, "Adult")</f>
        <v>Young Adult</v>
      </c>
      <c r="I297" s="4">
        <v>22</v>
      </c>
      <c r="J297" s="4" t="s">
        <v>20</v>
      </c>
      <c r="K297" s="4">
        <v>4</v>
      </c>
      <c r="L297" s="5">
        <v>300</v>
      </c>
      <c r="M297" s="5">
        <f>K297 * L297</f>
        <v>1200</v>
      </c>
      <c r="N297" s="5">
        <f>M297 * $Q$4</f>
        <v>18</v>
      </c>
      <c r="O297" s="5">
        <f>M297* $Q$5</f>
        <v>24</v>
      </c>
    </row>
    <row r="298" spans="1:15">
      <c r="A298" s="2">
        <v>297</v>
      </c>
      <c r="B298" s="4">
        <f t="shared" si="12"/>
        <v>4</v>
      </c>
      <c r="C298" s="4">
        <f t="shared" si="13"/>
        <v>9</v>
      </c>
      <c r="D298" s="4">
        <f t="shared" si="14"/>
        <v>2023</v>
      </c>
      <c r="E298" s="3">
        <v>45173</v>
      </c>
      <c r="F298" s="4" t="s">
        <v>323</v>
      </c>
      <c r="G298" s="4" t="s">
        <v>19</v>
      </c>
      <c r="H298" s="4" t="str" cm="1">
        <f t="array" ref="H298">_xlfn.IFS(I298&lt;30, "Young Adult", I298&gt;=50, "Senior", I298&gt;=30, "Adult")</f>
        <v>Adult</v>
      </c>
      <c r="I298" s="4">
        <v>40</v>
      </c>
      <c r="J298" s="4" t="s">
        <v>24</v>
      </c>
      <c r="K298" s="4">
        <v>2</v>
      </c>
      <c r="L298" s="5">
        <v>500</v>
      </c>
      <c r="M298" s="5">
        <f>K298 * L298</f>
        <v>1000</v>
      </c>
      <c r="N298" s="5">
        <f>M298 * $Q$4</f>
        <v>15</v>
      </c>
      <c r="O298" s="5">
        <f>M298* $Q$5</f>
        <v>20</v>
      </c>
    </row>
    <row r="299" spans="1:15">
      <c r="A299" s="2">
        <v>298</v>
      </c>
      <c r="B299" s="4">
        <f t="shared" si="12"/>
        <v>20</v>
      </c>
      <c r="C299" s="4">
        <f t="shared" si="13"/>
        <v>4</v>
      </c>
      <c r="D299" s="4">
        <f t="shared" si="14"/>
        <v>2023</v>
      </c>
      <c r="E299" s="3">
        <v>45036</v>
      </c>
      <c r="F299" s="4" t="s">
        <v>324</v>
      </c>
      <c r="G299" s="4" t="s">
        <v>16</v>
      </c>
      <c r="H299" s="4" t="str" cm="1">
        <f t="array" ref="H299">_xlfn.IFS(I299&lt;30, "Young Adult", I299&gt;=50, "Senior", I299&gt;=30, "Adult")</f>
        <v>Young Adult</v>
      </c>
      <c r="I299" s="4">
        <v>27</v>
      </c>
      <c r="J299" s="4" t="s">
        <v>17</v>
      </c>
      <c r="K299" s="4">
        <v>4</v>
      </c>
      <c r="L299" s="5">
        <v>300</v>
      </c>
      <c r="M299" s="5">
        <f>K299 * L299</f>
        <v>1200</v>
      </c>
      <c r="N299" s="5">
        <f>M299 * $Q$4</f>
        <v>18</v>
      </c>
      <c r="O299" s="5">
        <f>M299* $Q$5</f>
        <v>24</v>
      </c>
    </row>
    <row r="300" spans="1:15">
      <c r="A300" s="2">
        <v>299</v>
      </c>
      <c r="B300" s="4">
        <f t="shared" si="12"/>
        <v>25</v>
      </c>
      <c r="C300" s="4">
        <f t="shared" si="13"/>
        <v>7</v>
      </c>
      <c r="D300" s="4">
        <f t="shared" si="14"/>
        <v>2023</v>
      </c>
      <c r="E300" s="3">
        <v>45132</v>
      </c>
      <c r="F300" s="4" t="s">
        <v>325</v>
      </c>
      <c r="G300" s="4" t="s">
        <v>16</v>
      </c>
      <c r="H300" s="4" t="str" cm="1">
        <f t="array" ref="H300">_xlfn.IFS(I300&lt;30, "Young Adult", I300&gt;=50, "Senior", I300&gt;=30, "Adult")</f>
        <v>Senior</v>
      </c>
      <c r="I300" s="4">
        <v>61</v>
      </c>
      <c r="J300" s="4" t="s">
        <v>24</v>
      </c>
      <c r="K300" s="4">
        <v>2</v>
      </c>
      <c r="L300" s="5">
        <v>500</v>
      </c>
      <c r="M300" s="5">
        <f>K300 * L300</f>
        <v>1000</v>
      </c>
      <c r="N300" s="5">
        <f>M300 * $Q$4</f>
        <v>15</v>
      </c>
      <c r="O300" s="5">
        <f>M300* $Q$5</f>
        <v>20</v>
      </c>
    </row>
    <row r="301" spans="1:15">
      <c r="A301" s="2">
        <v>300</v>
      </c>
      <c r="B301" s="4">
        <f t="shared" si="12"/>
        <v>31</v>
      </c>
      <c r="C301" s="4">
        <f t="shared" si="13"/>
        <v>1</v>
      </c>
      <c r="D301" s="4">
        <f t="shared" si="14"/>
        <v>2023</v>
      </c>
      <c r="E301" s="3">
        <v>44957</v>
      </c>
      <c r="F301" s="4" t="s">
        <v>326</v>
      </c>
      <c r="G301" s="4" t="s">
        <v>19</v>
      </c>
      <c r="H301" s="4" t="str" cm="1">
        <f t="array" ref="H301">_xlfn.IFS(I301&lt;30, "Young Adult", I301&gt;=50, "Senior", I301&gt;=30, "Adult")</f>
        <v>Young Adult</v>
      </c>
      <c r="I301" s="4">
        <v>19</v>
      </c>
      <c r="J301" s="4" t="s">
        <v>24</v>
      </c>
      <c r="K301" s="4">
        <v>4</v>
      </c>
      <c r="L301" s="5">
        <v>50</v>
      </c>
      <c r="M301" s="5">
        <f>K301 * L301</f>
        <v>200</v>
      </c>
      <c r="N301" s="5">
        <f>M301 * $Q$4</f>
        <v>3</v>
      </c>
      <c r="O301" s="5">
        <f>M301* $Q$5</f>
        <v>4</v>
      </c>
    </row>
    <row r="302" spans="1:15">
      <c r="A302" s="2">
        <v>301</v>
      </c>
      <c r="B302" s="4">
        <f t="shared" si="12"/>
        <v>26</v>
      </c>
      <c r="C302" s="4">
        <f t="shared" si="13"/>
        <v>3</v>
      </c>
      <c r="D302" s="4">
        <f t="shared" si="14"/>
        <v>2023</v>
      </c>
      <c r="E302" s="3">
        <v>45011</v>
      </c>
      <c r="F302" s="4" t="s">
        <v>327</v>
      </c>
      <c r="G302" s="4" t="s">
        <v>16</v>
      </c>
      <c r="H302" s="4" t="str" cm="1">
        <f t="array" ref="H302">_xlfn.IFS(I302&lt;30, "Young Adult", I302&gt;=50, "Senior", I302&gt;=30, "Adult")</f>
        <v>Adult</v>
      </c>
      <c r="I302" s="4">
        <v>30</v>
      </c>
      <c r="J302" s="4" t="s">
        <v>20</v>
      </c>
      <c r="K302" s="4">
        <v>4</v>
      </c>
      <c r="L302" s="5">
        <v>30</v>
      </c>
      <c r="M302" s="5">
        <f>K302 * L302</f>
        <v>120</v>
      </c>
      <c r="N302" s="5">
        <f>M302 * $Q$4</f>
        <v>1.7999999999999998</v>
      </c>
      <c r="O302" s="5">
        <f>M302* $Q$5</f>
        <v>2.4</v>
      </c>
    </row>
    <row r="303" spans="1:15">
      <c r="A303" s="2">
        <v>302</v>
      </c>
      <c r="B303" s="4">
        <f t="shared" si="12"/>
        <v>14</v>
      </c>
      <c r="C303" s="4">
        <f t="shared" si="13"/>
        <v>7</v>
      </c>
      <c r="D303" s="4">
        <f t="shared" si="14"/>
        <v>2023</v>
      </c>
      <c r="E303" s="3">
        <v>45121</v>
      </c>
      <c r="F303" s="4" t="s">
        <v>328</v>
      </c>
      <c r="G303" s="4" t="s">
        <v>16</v>
      </c>
      <c r="H303" s="4" t="str" cm="1">
        <f t="array" ref="H303">_xlfn.IFS(I303&lt;30, "Young Adult", I303&gt;=50, "Senior", I303&gt;=30, "Adult")</f>
        <v>Senior</v>
      </c>
      <c r="I303" s="4">
        <v>57</v>
      </c>
      <c r="J303" s="4" t="s">
        <v>17</v>
      </c>
      <c r="K303" s="4">
        <v>2</v>
      </c>
      <c r="L303" s="5">
        <v>300</v>
      </c>
      <c r="M303" s="5">
        <f>K303 * L303</f>
        <v>600</v>
      </c>
      <c r="N303" s="5">
        <f>M303 * $Q$4</f>
        <v>9</v>
      </c>
      <c r="O303" s="5">
        <f>M303* $Q$5</f>
        <v>12</v>
      </c>
    </row>
    <row r="304" spans="1:15">
      <c r="A304" s="2">
        <v>303</v>
      </c>
      <c r="B304" s="4">
        <f t="shared" si="12"/>
        <v>2</v>
      </c>
      <c r="C304" s="4">
        <f t="shared" si="13"/>
        <v>1</v>
      </c>
      <c r="D304" s="4">
        <f t="shared" si="14"/>
        <v>2023</v>
      </c>
      <c r="E304" s="3">
        <v>44928</v>
      </c>
      <c r="F304" s="4" t="s">
        <v>329</v>
      </c>
      <c r="G304" s="4" t="s">
        <v>16</v>
      </c>
      <c r="H304" s="4" t="str" cm="1">
        <f t="array" ref="H304">_xlfn.IFS(I304&lt;30, "Young Adult", I304&gt;=50, "Senior", I304&gt;=30, "Adult")</f>
        <v>Young Adult</v>
      </c>
      <c r="I304" s="4">
        <v>19</v>
      </c>
      <c r="J304" s="4" t="s">
        <v>24</v>
      </c>
      <c r="K304" s="4">
        <v>3</v>
      </c>
      <c r="L304" s="5">
        <v>30</v>
      </c>
      <c r="M304" s="5">
        <f>K304 * L304</f>
        <v>90</v>
      </c>
      <c r="N304" s="5">
        <f>M304 * $Q$4</f>
        <v>1.3499999999999999</v>
      </c>
      <c r="O304" s="5">
        <f>M304* $Q$5</f>
        <v>1.8</v>
      </c>
    </row>
    <row r="305" spans="1:15">
      <c r="A305" s="2">
        <v>304</v>
      </c>
      <c r="B305" s="4">
        <f t="shared" si="12"/>
        <v>19</v>
      </c>
      <c r="C305" s="4">
        <f t="shared" si="13"/>
        <v>7</v>
      </c>
      <c r="D305" s="4">
        <f t="shared" si="14"/>
        <v>2023</v>
      </c>
      <c r="E305" s="3">
        <v>45126</v>
      </c>
      <c r="F305" s="4" t="s">
        <v>330</v>
      </c>
      <c r="G305" s="4" t="s">
        <v>19</v>
      </c>
      <c r="H305" s="4" t="str" cm="1">
        <f t="array" ref="H305">_xlfn.IFS(I305&lt;30, "Young Adult", I305&gt;=50, "Senior", I305&gt;=30, "Adult")</f>
        <v>Adult</v>
      </c>
      <c r="I305" s="4">
        <v>37</v>
      </c>
      <c r="J305" s="4" t="s">
        <v>24</v>
      </c>
      <c r="K305" s="4">
        <v>2</v>
      </c>
      <c r="L305" s="5">
        <v>30</v>
      </c>
      <c r="M305" s="5">
        <f>K305 * L305</f>
        <v>60</v>
      </c>
      <c r="N305" s="5">
        <f>M305 * $Q$4</f>
        <v>0.89999999999999991</v>
      </c>
      <c r="O305" s="5">
        <f>M305* $Q$5</f>
        <v>1.2</v>
      </c>
    </row>
    <row r="306" spans="1:15">
      <c r="A306" s="2">
        <v>305</v>
      </c>
      <c r="B306" s="4">
        <f t="shared" si="12"/>
        <v>16</v>
      </c>
      <c r="C306" s="4">
        <f t="shared" si="13"/>
        <v>5</v>
      </c>
      <c r="D306" s="4">
        <f t="shared" si="14"/>
        <v>2023</v>
      </c>
      <c r="E306" s="3">
        <v>45062</v>
      </c>
      <c r="F306" s="4" t="s">
        <v>331</v>
      </c>
      <c r="G306" s="4" t="s">
        <v>19</v>
      </c>
      <c r="H306" s="4" t="str" cm="1">
        <f t="array" ref="H306">_xlfn.IFS(I306&lt;30, "Young Adult", I306&gt;=50, "Senior", I306&gt;=30, "Adult")</f>
        <v>Young Adult</v>
      </c>
      <c r="I306" s="4">
        <v>18</v>
      </c>
      <c r="J306" s="4" t="s">
        <v>17</v>
      </c>
      <c r="K306" s="4">
        <v>1</v>
      </c>
      <c r="L306" s="5">
        <v>30</v>
      </c>
      <c r="M306" s="5">
        <f>K306 * L306</f>
        <v>30</v>
      </c>
      <c r="N306" s="5">
        <f>M306 * $Q$4</f>
        <v>0.44999999999999996</v>
      </c>
      <c r="O306" s="5">
        <f>M306* $Q$5</f>
        <v>0.6</v>
      </c>
    </row>
    <row r="307" spans="1:15">
      <c r="A307" s="2">
        <v>306</v>
      </c>
      <c r="B307" s="4">
        <f t="shared" si="12"/>
        <v>21</v>
      </c>
      <c r="C307" s="4">
        <f t="shared" si="13"/>
        <v>8</v>
      </c>
      <c r="D307" s="4">
        <f t="shared" si="14"/>
        <v>2023</v>
      </c>
      <c r="E307" s="3">
        <v>45159</v>
      </c>
      <c r="F307" s="4" t="s">
        <v>332</v>
      </c>
      <c r="G307" s="4" t="s">
        <v>16</v>
      </c>
      <c r="H307" s="4" t="str" cm="1">
        <f t="array" ref="H307">_xlfn.IFS(I307&lt;30, "Young Adult", I307&gt;=50, "Senior", I307&gt;=30, "Adult")</f>
        <v>Senior</v>
      </c>
      <c r="I307" s="4">
        <v>54</v>
      </c>
      <c r="J307" s="4" t="s">
        <v>24</v>
      </c>
      <c r="K307" s="4">
        <v>1</v>
      </c>
      <c r="L307" s="5">
        <v>50</v>
      </c>
      <c r="M307" s="5">
        <f>K307 * L307</f>
        <v>50</v>
      </c>
      <c r="N307" s="5">
        <f>M307 * $Q$4</f>
        <v>0.75</v>
      </c>
      <c r="O307" s="5">
        <f>M307* $Q$5</f>
        <v>1</v>
      </c>
    </row>
    <row r="308" spans="1:15">
      <c r="A308" s="2">
        <v>307</v>
      </c>
      <c r="B308" s="4">
        <f t="shared" si="12"/>
        <v>27</v>
      </c>
      <c r="C308" s="4">
        <f t="shared" si="13"/>
        <v>5</v>
      </c>
      <c r="D308" s="4">
        <f t="shared" si="14"/>
        <v>2023</v>
      </c>
      <c r="E308" s="3">
        <v>45073</v>
      </c>
      <c r="F308" s="4" t="s">
        <v>333</v>
      </c>
      <c r="G308" s="4" t="s">
        <v>19</v>
      </c>
      <c r="H308" s="4" t="str" cm="1">
        <f t="array" ref="H308">_xlfn.IFS(I308&lt;30, "Young Adult", I308&gt;=50, "Senior", I308&gt;=30, "Adult")</f>
        <v>Young Adult</v>
      </c>
      <c r="I308" s="4">
        <v>26</v>
      </c>
      <c r="J308" s="4" t="s">
        <v>24</v>
      </c>
      <c r="K308" s="4">
        <v>2</v>
      </c>
      <c r="L308" s="5">
        <v>25</v>
      </c>
      <c r="M308" s="5">
        <f>K308 * L308</f>
        <v>50</v>
      </c>
      <c r="N308" s="5">
        <f>M308 * $Q$4</f>
        <v>0.75</v>
      </c>
      <c r="O308" s="5">
        <f>M308* $Q$5</f>
        <v>1</v>
      </c>
    </row>
    <row r="309" spans="1:15">
      <c r="A309" s="2">
        <v>308</v>
      </c>
      <c r="B309" s="4">
        <f t="shared" si="12"/>
        <v>5</v>
      </c>
      <c r="C309" s="4">
        <f t="shared" si="13"/>
        <v>8</v>
      </c>
      <c r="D309" s="4">
        <f t="shared" si="14"/>
        <v>2023</v>
      </c>
      <c r="E309" s="3">
        <v>45143</v>
      </c>
      <c r="F309" s="4" t="s">
        <v>334</v>
      </c>
      <c r="G309" s="4" t="s">
        <v>19</v>
      </c>
      <c r="H309" s="4" t="str" cm="1">
        <f t="array" ref="H309">_xlfn.IFS(I309&lt;30, "Young Adult", I309&gt;=50, "Senior", I309&gt;=30, "Adult")</f>
        <v>Adult</v>
      </c>
      <c r="I309" s="4">
        <v>34</v>
      </c>
      <c r="J309" s="4" t="s">
        <v>17</v>
      </c>
      <c r="K309" s="4">
        <v>4</v>
      </c>
      <c r="L309" s="5">
        <v>300</v>
      </c>
      <c r="M309" s="5">
        <f>K309 * L309</f>
        <v>1200</v>
      </c>
      <c r="N309" s="5">
        <f>M309 * $Q$4</f>
        <v>18</v>
      </c>
      <c r="O309" s="5">
        <f>M309* $Q$5</f>
        <v>24</v>
      </c>
    </row>
    <row r="310" spans="1:15">
      <c r="A310" s="2">
        <v>309</v>
      </c>
      <c r="B310" s="4">
        <f t="shared" si="12"/>
        <v>23</v>
      </c>
      <c r="C310" s="4">
        <f t="shared" si="13"/>
        <v>12</v>
      </c>
      <c r="D310" s="4">
        <f t="shared" si="14"/>
        <v>2023</v>
      </c>
      <c r="E310" s="3">
        <v>45283</v>
      </c>
      <c r="F310" s="4" t="s">
        <v>335</v>
      </c>
      <c r="G310" s="4" t="s">
        <v>19</v>
      </c>
      <c r="H310" s="4" t="str" cm="1">
        <f t="array" ref="H310">_xlfn.IFS(I310&lt;30, "Young Adult", I310&gt;=50, "Senior", I310&gt;=30, "Adult")</f>
        <v>Young Adult</v>
      </c>
      <c r="I310" s="4">
        <v>26</v>
      </c>
      <c r="J310" s="4" t="s">
        <v>17</v>
      </c>
      <c r="K310" s="4">
        <v>1</v>
      </c>
      <c r="L310" s="5">
        <v>25</v>
      </c>
      <c r="M310" s="5">
        <f>K310 * L310</f>
        <v>25</v>
      </c>
      <c r="N310" s="5">
        <f>M310 * $Q$4</f>
        <v>0.375</v>
      </c>
      <c r="O310" s="5">
        <f>M310* $Q$5</f>
        <v>0.5</v>
      </c>
    </row>
    <row r="311" spans="1:15">
      <c r="A311" s="2">
        <v>310</v>
      </c>
      <c r="B311" s="4">
        <f t="shared" si="12"/>
        <v>12</v>
      </c>
      <c r="C311" s="4">
        <f t="shared" si="13"/>
        <v>10</v>
      </c>
      <c r="D311" s="4">
        <f t="shared" si="14"/>
        <v>2023</v>
      </c>
      <c r="E311" s="3">
        <v>45211</v>
      </c>
      <c r="F311" s="4" t="s">
        <v>336</v>
      </c>
      <c r="G311" s="4" t="s">
        <v>19</v>
      </c>
      <c r="H311" s="4" t="str" cm="1">
        <f t="array" ref="H311">_xlfn.IFS(I311&lt;30, "Young Adult", I311&gt;=50, "Senior", I311&gt;=30, "Adult")</f>
        <v>Young Adult</v>
      </c>
      <c r="I311" s="4">
        <v>28</v>
      </c>
      <c r="J311" s="4" t="s">
        <v>17</v>
      </c>
      <c r="K311" s="4">
        <v>1</v>
      </c>
      <c r="L311" s="5">
        <v>25</v>
      </c>
      <c r="M311" s="5">
        <f>K311 * L311</f>
        <v>25</v>
      </c>
      <c r="N311" s="5">
        <f>M311 * $Q$4</f>
        <v>0.375</v>
      </c>
      <c r="O311" s="5">
        <f>M311* $Q$5</f>
        <v>0.5</v>
      </c>
    </row>
    <row r="312" spans="1:15">
      <c r="A312" s="2">
        <v>311</v>
      </c>
      <c r="B312" s="4">
        <f t="shared" si="12"/>
        <v>5</v>
      </c>
      <c r="C312" s="4">
        <f t="shared" si="13"/>
        <v>12</v>
      </c>
      <c r="D312" s="4">
        <f t="shared" si="14"/>
        <v>2023</v>
      </c>
      <c r="E312" s="3">
        <v>45265</v>
      </c>
      <c r="F312" s="4" t="s">
        <v>337</v>
      </c>
      <c r="G312" s="4" t="s">
        <v>19</v>
      </c>
      <c r="H312" s="4" t="str" cm="1">
        <f t="array" ref="H312">_xlfn.IFS(I312&lt;30, "Young Adult", I312&gt;=50, "Senior", I312&gt;=30, "Adult")</f>
        <v>Adult</v>
      </c>
      <c r="I312" s="4">
        <v>32</v>
      </c>
      <c r="J312" s="4" t="s">
        <v>17</v>
      </c>
      <c r="K312" s="4">
        <v>4</v>
      </c>
      <c r="L312" s="5">
        <v>25</v>
      </c>
      <c r="M312" s="5">
        <f>K312 * L312</f>
        <v>100</v>
      </c>
      <c r="N312" s="5">
        <f>M312 * $Q$4</f>
        <v>1.5</v>
      </c>
      <c r="O312" s="5">
        <f>M312* $Q$5</f>
        <v>2</v>
      </c>
    </row>
    <row r="313" spans="1:15">
      <c r="A313" s="2">
        <v>312</v>
      </c>
      <c r="B313" s="4">
        <f t="shared" si="12"/>
        <v>7</v>
      </c>
      <c r="C313" s="4">
        <f t="shared" si="13"/>
        <v>9</v>
      </c>
      <c r="D313" s="4">
        <f t="shared" si="14"/>
        <v>2023</v>
      </c>
      <c r="E313" s="3">
        <v>45176</v>
      </c>
      <c r="F313" s="4" t="s">
        <v>338</v>
      </c>
      <c r="G313" s="4" t="s">
        <v>16</v>
      </c>
      <c r="H313" s="4" t="str" cm="1">
        <f t="array" ref="H313">_xlfn.IFS(I313&lt;30, "Young Adult", I313&gt;=50, "Senior", I313&gt;=30, "Adult")</f>
        <v>Adult</v>
      </c>
      <c r="I313" s="4">
        <v>41</v>
      </c>
      <c r="J313" s="4" t="s">
        <v>20</v>
      </c>
      <c r="K313" s="4">
        <v>4</v>
      </c>
      <c r="L313" s="5">
        <v>30</v>
      </c>
      <c r="M313" s="5">
        <f>K313 * L313</f>
        <v>120</v>
      </c>
      <c r="N313" s="5">
        <f>M313 * $Q$4</f>
        <v>1.7999999999999998</v>
      </c>
      <c r="O313" s="5">
        <f>M313* $Q$5</f>
        <v>2.4</v>
      </c>
    </row>
    <row r="314" spans="1:15">
      <c r="A314" s="2">
        <v>313</v>
      </c>
      <c r="B314" s="4">
        <f t="shared" si="12"/>
        <v>21</v>
      </c>
      <c r="C314" s="4">
        <f t="shared" si="13"/>
        <v>3</v>
      </c>
      <c r="D314" s="4">
        <f t="shared" si="14"/>
        <v>2023</v>
      </c>
      <c r="E314" s="3">
        <v>45006</v>
      </c>
      <c r="F314" s="4" t="s">
        <v>339</v>
      </c>
      <c r="G314" s="4" t="s">
        <v>19</v>
      </c>
      <c r="H314" s="4" t="str" cm="1">
        <f t="array" ref="H314">_xlfn.IFS(I314&lt;30, "Young Adult", I314&gt;=50, "Senior", I314&gt;=30, "Adult")</f>
        <v>Senior</v>
      </c>
      <c r="I314" s="4">
        <v>55</v>
      </c>
      <c r="J314" s="4" t="s">
        <v>17</v>
      </c>
      <c r="K314" s="4">
        <v>3</v>
      </c>
      <c r="L314" s="5">
        <v>500</v>
      </c>
      <c r="M314" s="5">
        <f>K314 * L314</f>
        <v>1500</v>
      </c>
      <c r="N314" s="5">
        <f>M314 * $Q$4</f>
        <v>22.5</v>
      </c>
      <c r="O314" s="5">
        <f>M314* $Q$5</f>
        <v>30</v>
      </c>
    </row>
    <row r="315" spans="1:15">
      <c r="A315" s="2">
        <v>314</v>
      </c>
      <c r="B315" s="4">
        <f t="shared" si="12"/>
        <v>8</v>
      </c>
      <c r="C315" s="4">
        <f t="shared" si="13"/>
        <v>4</v>
      </c>
      <c r="D315" s="4">
        <f t="shared" si="14"/>
        <v>2023</v>
      </c>
      <c r="E315" s="3">
        <v>45024</v>
      </c>
      <c r="F315" s="4" t="s">
        <v>340</v>
      </c>
      <c r="G315" s="4" t="s">
        <v>16</v>
      </c>
      <c r="H315" s="4" t="str" cm="1">
        <f t="array" ref="H315">_xlfn.IFS(I315&lt;30, "Young Adult", I315&gt;=50, "Senior", I315&gt;=30, "Adult")</f>
        <v>Senior</v>
      </c>
      <c r="I315" s="4">
        <v>52</v>
      </c>
      <c r="J315" s="4" t="s">
        <v>20</v>
      </c>
      <c r="K315" s="4">
        <v>4</v>
      </c>
      <c r="L315" s="5">
        <v>30</v>
      </c>
      <c r="M315" s="5">
        <f>K315 * L315</f>
        <v>120</v>
      </c>
      <c r="N315" s="5">
        <f>M315 * $Q$4</f>
        <v>1.7999999999999998</v>
      </c>
      <c r="O315" s="5">
        <f>M315* $Q$5</f>
        <v>2.4</v>
      </c>
    </row>
    <row r="316" spans="1:15">
      <c r="A316" s="2">
        <v>315</v>
      </c>
      <c r="B316" s="4">
        <f t="shared" si="12"/>
        <v>1</v>
      </c>
      <c r="C316" s="4">
        <f t="shared" si="13"/>
        <v>6</v>
      </c>
      <c r="D316" s="4">
        <f t="shared" si="14"/>
        <v>2023</v>
      </c>
      <c r="E316" s="3">
        <v>45078</v>
      </c>
      <c r="F316" s="4" t="s">
        <v>341</v>
      </c>
      <c r="G316" s="4" t="s">
        <v>16</v>
      </c>
      <c r="H316" s="4" t="str" cm="1">
        <f t="array" ref="H316">_xlfn.IFS(I316&lt;30, "Young Adult", I316&gt;=50, "Senior", I316&gt;=30, "Adult")</f>
        <v>Adult</v>
      </c>
      <c r="I316" s="4">
        <v>47</v>
      </c>
      <c r="J316" s="4" t="s">
        <v>20</v>
      </c>
      <c r="K316" s="4">
        <v>2</v>
      </c>
      <c r="L316" s="5">
        <v>30</v>
      </c>
      <c r="M316" s="5">
        <f>K316 * L316</f>
        <v>60</v>
      </c>
      <c r="N316" s="5">
        <f>M316 * $Q$4</f>
        <v>0.89999999999999991</v>
      </c>
      <c r="O316" s="5">
        <f>M316* $Q$5</f>
        <v>1.2</v>
      </c>
    </row>
    <row r="317" spans="1:15">
      <c r="A317" s="2">
        <v>316</v>
      </c>
      <c r="B317" s="4">
        <f t="shared" si="12"/>
        <v>22</v>
      </c>
      <c r="C317" s="4">
        <f t="shared" si="13"/>
        <v>4</v>
      </c>
      <c r="D317" s="4">
        <f t="shared" si="14"/>
        <v>2023</v>
      </c>
      <c r="E317" s="3">
        <v>45038</v>
      </c>
      <c r="F317" s="4" t="s">
        <v>342</v>
      </c>
      <c r="G317" s="4" t="s">
        <v>19</v>
      </c>
      <c r="H317" s="4" t="str" cm="1">
        <f t="array" ref="H317">_xlfn.IFS(I317&lt;30, "Young Adult", I317&gt;=50, "Senior", I317&gt;=30, "Adult")</f>
        <v>Adult</v>
      </c>
      <c r="I317" s="4">
        <v>48</v>
      </c>
      <c r="J317" s="4" t="s">
        <v>20</v>
      </c>
      <c r="K317" s="4">
        <v>2</v>
      </c>
      <c r="L317" s="5">
        <v>25</v>
      </c>
      <c r="M317" s="5">
        <f>K317 * L317</f>
        <v>50</v>
      </c>
      <c r="N317" s="5">
        <f>M317 * $Q$4</f>
        <v>0.75</v>
      </c>
      <c r="O317" s="5">
        <f>M317* $Q$5</f>
        <v>1</v>
      </c>
    </row>
    <row r="318" spans="1:15">
      <c r="A318" s="2">
        <v>317</v>
      </c>
      <c r="B318" s="4">
        <f t="shared" si="12"/>
        <v>30</v>
      </c>
      <c r="C318" s="4">
        <f t="shared" si="13"/>
        <v>1</v>
      </c>
      <c r="D318" s="4">
        <f t="shared" si="14"/>
        <v>2023</v>
      </c>
      <c r="E318" s="3">
        <v>44956</v>
      </c>
      <c r="F318" s="4" t="s">
        <v>343</v>
      </c>
      <c r="G318" s="4" t="s">
        <v>16</v>
      </c>
      <c r="H318" s="4" t="str" cm="1">
        <f t="array" ref="H318">_xlfn.IFS(I318&lt;30, "Young Adult", I318&gt;=50, "Senior", I318&gt;=30, "Adult")</f>
        <v>Young Adult</v>
      </c>
      <c r="I318" s="4">
        <v>22</v>
      </c>
      <c r="J318" s="4" t="s">
        <v>24</v>
      </c>
      <c r="K318" s="4">
        <v>3</v>
      </c>
      <c r="L318" s="5">
        <v>30</v>
      </c>
      <c r="M318" s="5">
        <f>K318 * L318</f>
        <v>90</v>
      </c>
      <c r="N318" s="5">
        <f>M318 * $Q$4</f>
        <v>1.3499999999999999</v>
      </c>
      <c r="O318" s="5">
        <f>M318* $Q$5</f>
        <v>1.8</v>
      </c>
    </row>
    <row r="319" spans="1:15">
      <c r="A319" s="2">
        <v>318</v>
      </c>
      <c r="B319" s="4">
        <f t="shared" si="12"/>
        <v>24</v>
      </c>
      <c r="C319" s="4">
        <f t="shared" si="13"/>
        <v>10</v>
      </c>
      <c r="D319" s="4">
        <f t="shared" si="14"/>
        <v>2023</v>
      </c>
      <c r="E319" s="3">
        <v>45223</v>
      </c>
      <c r="F319" s="4" t="s">
        <v>344</v>
      </c>
      <c r="G319" s="4" t="s">
        <v>16</v>
      </c>
      <c r="H319" s="4" t="str" cm="1">
        <f t="array" ref="H319">_xlfn.IFS(I319&lt;30, "Young Adult", I319&gt;=50, "Senior", I319&gt;=30, "Adult")</f>
        <v>Senior</v>
      </c>
      <c r="I319" s="4">
        <v>61</v>
      </c>
      <c r="J319" s="4" t="s">
        <v>20</v>
      </c>
      <c r="K319" s="4">
        <v>1</v>
      </c>
      <c r="L319" s="5">
        <v>25</v>
      </c>
      <c r="M319" s="5">
        <f>K319 * L319</f>
        <v>25</v>
      </c>
      <c r="N319" s="5">
        <f>M319 * $Q$4</f>
        <v>0.375</v>
      </c>
      <c r="O319" s="5">
        <f>M319* $Q$5</f>
        <v>0.5</v>
      </c>
    </row>
    <row r="320" spans="1:15">
      <c r="A320" s="2">
        <v>319</v>
      </c>
      <c r="B320" s="4">
        <f t="shared" si="12"/>
        <v>5</v>
      </c>
      <c r="C320" s="4">
        <f t="shared" si="13"/>
        <v>10</v>
      </c>
      <c r="D320" s="4">
        <f t="shared" si="14"/>
        <v>2023</v>
      </c>
      <c r="E320" s="3">
        <v>45204</v>
      </c>
      <c r="F320" s="4" t="s">
        <v>345</v>
      </c>
      <c r="G320" s="4" t="s">
        <v>16</v>
      </c>
      <c r="H320" s="4" t="str" cm="1">
        <f t="array" ref="H320">_xlfn.IFS(I320&lt;30, "Young Adult", I320&gt;=50, "Senior", I320&gt;=30, "Adult")</f>
        <v>Adult</v>
      </c>
      <c r="I320" s="4">
        <v>31</v>
      </c>
      <c r="J320" s="4" t="s">
        <v>20</v>
      </c>
      <c r="K320" s="4">
        <v>1</v>
      </c>
      <c r="L320" s="5">
        <v>500</v>
      </c>
      <c r="M320" s="5">
        <f>K320 * L320</f>
        <v>500</v>
      </c>
      <c r="N320" s="5">
        <f>M320 * $Q$4</f>
        <v>7.5</v>
      </c>
      <c r="O320" s="5">
        <f>M320* $Q$5</f>
        <v>10</v>
      </c>
    </row>
    <row r="321" spans="1:15">
      <c r="A321" s="2">
        <v>320</v>
      </c>
      <c r="B321" s="4">
        <f t="shared" si="12"/>
        <v>1</v>
      </c>
      <c r="C321" s="4">
        <f t="shared" si="13"/>
        <v>2</v>
      </c>
      <c r="D321" s="4">
        <f t="shared" si="14"/>
        <v>2023</v>
      </c>
      <c r="E321" s="3">
        <v>44958</v>
      </c>
      <c r="F321" s="4" t="s">
        <v>346</v>
      </c>
      <c r="G321" s="4" t="s">
        <v>19</v>
      </c>
      <c r="H321" s="4" t="str" cm="1">
        <f t="array" ref="H321">_xlfn.IFS(I321&lt;30, "Young Adult", I321&gt;=50, "Senior", I321&gt;=30, "Adult")</f>
        <v>Young Adult</v>
      </c>
      <c r="I321" s="4">
        <v>28</v>
      </c>
      <c r="J321" s="4" t="s">
        <v>24</v>
      </c>
      <c r="K321" s="4">
        <v>4</v>
      </c>
      <c r="L321" s="5">
        <v>300</v>
      </c>
      <c r="M321" s="5">
        <f>K321 * L321</f>
        <v>1200</v>
      </c>
      <c r="N321" s="5">
        <f>M321 * $Q$4</f>
        <v>18</v>
      </c>
      <c r="O321" s="5">
        <f>M321* $Q$5</f>
        <v>24</v>
      </c>
    </row>
    <row r="322" spans="1:15">
      <c r="A322" s="2">
        <v>321</v>
      </c>
      <c r="B322" s="4">
        <f t="shared" si="12"/>
        <v>10</v>
      </c>
      <c r="C322" s="4">
        <f t="shared" si="13"/>
        <v>6</v>
      </c>
      <c r="D322" s="4">
        <f t="shared" si="14"/>
        <v>2023</v>
      </c>
      <c r="E322" s="3">
        <v>45087</v>
      </c>
      <c r="F322" s="4" t="s">
        <v>347</v>
      </c>
      <c r="G322" s="4" t="s">
        <v>19</v>
      </c>
      <c r="H322" s="4" t="str" cm="1">
        <f t="array" ref="H322">_xlfn.IFS(I322&lt;30, "Young Adult", I322&gt;=50, "Senior", I322&gt;=30, "Adult")</f>
        <v>Young Adult</v>
      </c>
      <c r="I322" s="4">
        <v>26</v>
      </c>
      <c r="J322" s="4" t="s">
        <v>24</v>
      </c>
      <c r="K322" s="4">
        <v>2</v>
      </c>
      <c r="L322" s="5">
        <v>25</v>
      </c>
      <c r="M322" s="5">
        <f>K322 * L322</f>
        <v>50</v>
      </c>
      <c r="N322" s="5">
        <f>M322 * $Q$4</f>
        <v>0.75</v>
      </c>
      <c r="O322" s="5">
        <f>M322* $Q$5</f>
        <v>1</v>
      </c>
    </row>
    <row r="323" spans="1:15">
      <c r="A323" s="2">
        <v>322</v>
      </c>
      <c r="B323" s="4">
        <f t="shared" ref="B323:B386" si="15">DAY(E323)</f>
        <v>30</v>
      </c>
      <c r="C323" s="4">
        <f t="shared" ref="C323:C386" si="16">MONTH(E323)</f>
        <v>1</v>
      </c>
      <c r="D323" s="4">
        <f t="shared" ref="D323:D386" si="17">YEAR(E323)</f>
        <v>2023</v>
      </c>
      <c r="E323" s="3">
        <v>44956</v>
      </c>
      <c r="F323" s="4" t="s">
        <v>348</v>
      </c>
      <c r="G323" s="4" t="s">
        <v>16</v>
      </c>
      <c r="H323" s="4" t="str" cm="1">
        <f t="array" ref="H323">_xlfn.IFS(I323&lt;30, "Young Adult", I323&gt;=50, "Senior", I323&gt;=30, "Adult")</f>
        <v>Senior</v>
      </c>
      <c r="I323" s="4">
        <v>51</v>
      </c>
      <c r="J323" s="4" t="s">
        <v>24</v>
      </c>
      <c r="K323" s="4">
        <v>1</v>
      </c>
      <c r="L323" s="5">
        <v>500</v>
      </c>
      <c r="M323" s="5">
        <f>K323 * L323</f>
        <v>500</v>
      </c>
      <c r="N323" s="5">
        <f>M323 * $Q$4</f>
        <v>7.5</v>
      </c>
      <c r="O323" s="5">
        <f>M323* $Q$5</f>
        <v>10</v>
      </c>
    </row>
    <row r="324" spans="1:15">
      <c r="A324" s="2">
        <v>323</v>
      </c>
      <c r="B324" s="4">
        <f t="shared" si="15"/>
        <v>26</v>
      </c>
      <c r="C324" s="4">
        <f t="shared" si="16"/>
        <v>1</v>
      </c>
      <c r="D324" s="4">
        <f t="shared" si="17"/>
        <v>2023</v>
      </c>
      <c r="E324" s="3">
        <v>44952</v>
      </c>
      <c r="F324" s="4" t="s">
        <v>349</v>
      </c>
      <c r="G324" s="4" t="s">
        <v>19</v>
      </c>
      <c r="H324" s="4" t="str" cm="1">
        <f t="array" ref="H324">_xlfn.IFS(I324&lt;30, "Young Adult", I324&gt;=50, "Senior", I324&gt;=30, "Adult")</f>
        <v>Young Adult</v>
      </c>
      <c r="I324" s="4">
        <v>29</v>
      </c>
      <c r="J324" s="4" t="s">
        <v>17</v>
      </c>
      <c r="K324" s="4">
        <v>3</v>
      </c>
      <c r="L324" s="5">
        <v>300</v>
      </c>
      <c r="M324" s="5">
        <f>K324 * L324</f>
        <v>900</v>
      </c>
      <c r="N324" s="5">
        <f>M324 * $Q$4</f>
        <v>13.5</v>
      </c>
      <c r="O324" s="5">
        <f>M324* $Q$5</f>
        <v>18</v>
      </c>
    </row>
    <row r="325" spans="1:15">
      <c r="A325" s="2">
        <v>324</v>
      </c>
      <c r="B325" s="4">
        <f t="shared" si="15"/>
        <v>27</v>
      </c>
      <c r="C325" s="4">
        <f t="shared" si="16"/>
        <v>10</v>
      </c>
      <c r="D325" s="4">
        <f t="shared" si="17"/>
        <v>2023</v>
      </c>
      <c r="E325" s="3">
        <v>45226</v>
      </c>
      <c r="F325" s="4" t="s">
        <v>350</v>
      </c>
      <c r="G325" s="4" t="s">
        <v>19</v>
      </c>
      <c r="H325" s="4" t="str" cm="1">
        <f t="array" ref="H325">_xlfn.IFS(I325&lt;30, "Young Adult", I325&gt;=50, "Senior", I325&gt;=30, "Adult")</f>
        <v>Senior</v>
      </c>
      <c r="I325" s="4">
        <v>52</v>
      </c>
      <c r="J325" s="4" t="s">
        <v>24</v>
      </c>
      <c r="K325" s="4">
        <v>3</v>
      </c>
      <c r="L325" s="5">
        <v>50</v>
      </c>
      <c r="M325" s="5">
        <f>K325 * L325</f>
        <v>150</v>
      </c>
      <c r="N325" s="5">
        <f>M325 * $Q$4</f>
        <v>2.25</v>
      </c>
      <c r="O325" s="5">
        <f>M325* $Q$5</f>
        <v>3</v>
      </c>
    </row>
    <row r="326" spans="1:15">
      <c r="A326" s="2">
        <v>325</v>
      </c>
      <c r="B326" s="4">
        <f t="shared" si="15"/>
        <v>2</v>
      </c>
      <c r="C326" s="4">
        <f t="shared" si="16"/>
        <v>9</v>
      </c>
      <c r="D326" s="4">
        <f t="shared" si="17"/>
        <v>2023</v>
      </c>
      <c r="E326" s="3">
        <v>45171</v>
      </c>
      <c r="F326" s="4" t="s">
        <v>351</v>
      </c>
      <c r="G326" s="4" t="s">
        <v>19</v>
      </c>
      <c r="H326" s="4" t="str" cm="1">
        <f t="array" ref="H326">_xlfn.IFS(I326&lt;30, "Young Adult", I326&gt;=50, "Senior", I326&gt;=30, "Adult")</f>
        <v>Senior</v>
      </c>
      <c r="I326" s="4">
        <v>52</v>
      </c>
      <c r="J326" s="4" t="s">
        <v>24</v>
      </c>
      <c r="K326" s="4">
        <v>2</v>
      </c>
      <c r="L326" s="5">
        <v>25</v>
      </c>
      <c r="M326" s="5">
        <f>K326 * L326</f>
        <v>50</v>
      </c>
      <c r="N326" s="5">
        <f>M326 * $Q$4</f>
        <v>0.75</v>
      </c>
      <c r="O326" s="5">
        <f>M326* $Q$5</f>
        <v>1</v>
      </c>
    </row>
    <row r="327" spans="1:15">
      <c r="A327" s="2">
        <v>326</v>
      </c>
      <c r="B327" s="4">
        <f t="shared" si="15"/>
        <v>15</v>
      </c>
      <c r="C327" s="4">
        <f t="shared" si="16"/>
        <v>9</v>
      </c>
      <c r="D327" s="4">
        <f t="shared" si="17"/>
        <v>2023</v>
      </c>
      <c r="E327" s="3">
        <v>45184</v>
      </c>
      <c r="F327" s="4" t="s">
        <v>352</v>
      </c>
      <c r="G327" s="4" t="s">
        <v>19</v>
      </c>
      <c r="H327" s="4" t="str" cm="1">
        <f t="array" ref="H327">_xlfn.IFS(I327&lt;30, "Young Adult", I327&gt;=50, "Senior", I327&gt;=30, "Adult")</f>
        <v>Young Adult</v>
      </c>
      <c r="I327" s="4">
        <v>18</v>
      </c>
      <c r="J327" s="4" t="s">
        <v>20</v>
      </c>
      <c r="K327" s="4">
        <v>3</v>
      </c>
      <c r="L327" s="5">
        <v>25</v>
      </c>
      <c r="M327" s="5">
        <f>K327 * L327</f>
        <v>75</v>
      </c>
      <c r="N327" s="5">
        <f>M327 * $Q$4</f>
        <v>1.125</v>
      </c>
      <c r="O327" s="5">
        <f>M327* $Q$5</f>
        <v>1.5</v>
      </c>
    </row>
    <row r="328" spans="1:15">
      <c r="A328" s="2">
        <v>327</v>
      </c>
      <c r="B328" s="4">
        <f t="shared" si="15"/>
        <v>29</v>
      </c>
      <c r="C328" s="4">
        <f t="shared" si="16"/>
        <v>9</v>
      </c>
      <c r="D328" s="4">
        <f t="shared" si="17"/>
        <v>2023</v>
      </c>
      <c r="E328" s="3">
        <v>45198</v>
      </c>
      <c r="F328" s="4" t="s">
        <v>353</v>
      </c>
      <c r="G328" s="4" t="s">
        <v>16</v>
      </c>
      <c r="H328" s="4" t="str" cm="1">
        <f t="array" ref="H328">_xlfn.IFS(I328&lt;30, "Young Adult", I328&gt;=50, "Senior", I328&gt;=30, "Adult")</f>
        <v>Senior</v>
      </c>
      <c r="I328" s="4">
        <v>57</v>
      </c>
      <c r="J328" s="4" t="s">
        <v>24</v>
      </c>
      <c r="K328" s="4">
        <v>3</v>
      </c>
      <c r="L328" s="5">
        <v>50</v>
      </c>
      <c r="M328" s="5">
        <f>K328 * L328</f>
        <v>150</v>
      </c>
      <c r="N328" s="5">
        <f>M328 * $Q$4</f>
        <v>2.25</v>
      </c>
      <c r="O328" s="5">
        <f>M328* $Q$5</f>
        <v>3</v>
      </c>
    </row>
    <row r="329" spans="1:15">
      <c r="A329" s="2">
        <v>328</v>
      </c>
      <c r="B329" s="4">
        <f t="shared" si="15"/>
        <v>22</v>
      </c>
      <c r="C329" s="4">
        <f t="shared" si="16"/>
        <v>3</v>
      </c>
      <c r="D329" s="4">
        <f t="shared" si="17"/>
        <v>2023</v>
      </c>
      <c r="E329" s="3">
        <v>45007</v>
      </c>
      <c r="F329" s="4" t="s">
        <v>354</v>
      </c>
      <c r="G329" s="4" t="s">
        <v>16</v>
      </c>
      <c r="H329" s="4" t="str" cm="1">
        <f t="array" ref="H329">_xlfn.IFS(I329&lt;30, "Young Adult", I329&gt;=50, "Senior", I329&gt;=30, "Adult")</f>
        <v>Adult</v>
      </c>
      <c r="I329" s="4">
        <v>39</v>
      </c>
      <c r="J329" s="4" t="s">
        <v>17</v>
      </c>
      <c r="K329" s="4">
        <v>2</v>
      </c>
      <c r="L329" s="5">
        <v>50</v>
      </c>
      <c r="M329" s="5">
        <f>K329 * L329</f>
        <v>100</v>
      </c>
      <c r="N329" s="5">
        <f>M329 * $Q$4</f>
        <v>1.5</v>
      </c>
      <c r="O329" s="5">
        <f>M329* $Q$5</f>
        <v>2</v>
      </c>
    </row>
    <row r="330" spans="1:15">
      <c r="A330" s="2">
        <v>329</v>
      </c>
      <c r="B330" s="4">
        <f t="shared" si="15"/>
        <v>30</v>
      </c>
      <c r="C330" s="4">
        <f t="shared" si="16"/>
        <v>1</v>
      </c>
      <c r="D330" s="4">
        <f t="shared" si="17"/>
        <v>2023</v>
      </c>
      <c r="E330" s="3">
        <v>44956</v>
      </c>
      <c r="F330" s="4" t="s">
        <v>355</v>
      </c>
      <c r="G330" s="4" t="s">
        <v>19</v>
      </c>
      <c r="H330" s="4" t="str" cm="1">
        <f t="array" ref="H330">_xlfn.IFS(I330&lt;30, "Young Adult", I330&gt;=50, "Senior", I330&gt;=30, "Adult")</f>
        <v>Adult</v>
      </c>
      <c r="I330" s="4">
        <v>46</v>
      </c>
      <c r="J330" s="4" t="s">
        <v>24</v>
      </c>
      <c r="K330" s="4">
        <v>4</v>
      </c>
      <c r="L330" s="5">
        <v>25</v>
      </c>
      <c r="M330" s="5">
        <f>K330 * L330</f>
        <v>100</v>
      </c>
      <c r="N330" s="5">
        <f>M330 * $Q$4</f>
        <v>1.5</v>
      </c>
      <c r="O330" s="5">
        <f>M330* $Q$5</f>
        <v>2</v>
      </c>
    </row>
    <row r="331" spans="1:15">
      <c r="A331" s="2">
        <v>330</v>
      </c>
      <c r="B331" s="4">
        <f t="shared" si="15"/>
        <v>18</v>
      </c>
      <c r="C331" s="4">
        <f t="shared" si="16"/>
        <v>9</v>
      </c>
      <c r="D331" s="4">
        <f t="shared" si="17"/>
        <v>2023</v>
      </c>
      <c r="E331" s="3">
        <v>45187</v>
      </c>
      <c r="F331" s="4" t="s">
        <v>356</v>
      </c>
      <c r="G331" s="4" t="s">
        <v>19</v>
      </c>
      <c r="H331" s="4" t="str" cm="1">
        <f t="array" ref="H331">_xlfn.IFS(I331&lt;30, "Young Adult", I331&gt;=50, "Senior", I331&gt;=30, "Adult")</f>
        <v>Young Adult</v>
      </c>
      <c r="I331" s="4">
        <v>25</v>
      </c>
      <c r="J331" s="4" t="s">
        <v>17</v>
      </c>
      <c r="K331" s="4">
        <v>4</v>
      </c>
      <c r="L331" s="5">
        <v>50</v>
      </c>
      <c r="M331" s="5">
        <f>K331 * L331</f>
        <v>200</v>
      </c>
      <c r="N331" s="5">
        <f>M331 * $Q$4</f>
        <v>3</v>
      </c>
      <c r="O331" s="5">
        <f>M331* $Q$5</f>
        <v>4</v>
      </c>
    </row>
    <row r="332" spans="1:15">
      <c r="A332" s="2">
        <v>331</v>
      </c>
      <c r="B332" s="4">
        <f t="shared" si="15"/>
        <v>11</v>
      </c>
      <c r="C332" s="4">
        <f t="shared" si="16"/>
        <v>2</v>
      </c>
      <c r="D332" s="4">
        <f t="shared" si="17"/>
        <v>2023</v>
      </c>
      <c r="E332" s="3">
        <v>44968</v>
      </c>
      <c r="F332" s="4" t="s">
        <v>357</v>
      </c>
      <c r="G332" s="4" t="s">
        <v>16</v>
      </c>
      <c r="H332" s="4" t="str" cm="1">
        <f t="array" ref="H332">_xlfn.IFS(I332&lt;30, "Young Adult", I332&gt;=50, "Senior", I332&gt;=30, "Adult")</f>
        <v>Young Adult</v>
      </c>
      <c r="I332" s="4">
        <v>28</v>
      </c>
      <c r="J332" s="4" t="s">
        <v>24</v>
      </c>
      <c r="K332" s="4">
        <v>3</v>
      </c>
      <c r="L332" s="5">
        <v>30</v>
      </c>
      <c r="M332" s="5">
        <f>K332 * L332</f>
        <v>90</v>
      </c>
      <c r="N332" s="5">
        <f>M332 * $Q$4</f>
        <v>1.3499999999999999</v>
      </c>
      <c r="O332" s="5">
        <f>M332* $Q$5</f>
        <v>1.8</v>
      </c>
    </row>
    <row r="333" spans="1:15">
      <c r="A333" s="2">
        <v>332</v>
      </c>
      <c r="B333" s="4">
        <f t="shared" si="15"/>
        <v>6</v>
      </c>
      <c r="C333" s="4">
        <f t="shared" si="16"/>
        <v>4</v>
      </c>
      <c r="D333" s="4">
        <f t="shared" si="17"/>
        <v>2023</v>
      </c>
      <c r="E333" s="3">
        <v>45022</v>
      </c>
      <c r="F333" s="4" t="s">
        <v>358</v>
      </c>
      <c r="G333" s="4" t="s">
        <v>16</v>
      </c>
      <c r="H333" s="4" t="str" cm="1">
        <f t="array" ref="H333">_xlfn.IFS(I333&lt;30, "Young Adult", I333&gt;=50, "Senior", I333&gt;=30, "Adult")</f>
        <v>Senior</v>
      </c>
      <c r="I333" s="4">
        <v>58</v>
      </c>
      <c r="J333" s="4" t="s">
        <v>24</v>
      </c>
      <c r="K333" s="4">
        <v>4</v>
      </c>
      <c r="L333" s="5">
        <v>300</v>
      </c>
      <c r="M333" s="5">
        <f>K333 * L333</f>
        <v>1200</v>
      </c>
      <c r="N333" s="5">
        <f>M333 * $Q$4</f>
        <v>18</v>
      </c>
      <c r="O333" s="5">
        <f>M333* $Q$5</f>
        <v>24</v>
      </c>
    </row>
    <row r="334" spans="1:15">
      <c r="A334" s="2">
        <v>333</v>
      </c>
      <c r="B334" s="4">
        <f t="shared" si="15"/>
        <v>5</v>
      </c>
      <c r="C334" s="4">
        <f t="shared" si="16"/>
        <v>2</v>
      </c>
      <c r="D334" s="4">
        <f t="shared" si="17"/>
        <v>2023</v>
      </c>
      <c r="E334" s="3">
        <v>44962</v>
      </c>
      <c r="F334" s="4" t="s">
        <v>359</v>
      </c>
      <c r="G334" s="4" t="s">
        <v>19</v>
      </c>
      <c r="H334" s="4" t="str" cm="1">
        <f t="array" ref="H334">_xlfn.IFS(I334&lt;30, "Young Adult", I334&gt;=50, "Senior", I334&gt;=30, "Adult")</f>
        <v>Senior</v>
      </c>
      <c r="I334" s="4">
        <v>54</v>
      </c>
      <c r="J334" s="4" t="s">
        <v>24</v>
      </c>
      <c r="K334" s="4">
        <v>4</v>
      </c>
      <c r="L334" s="5">
        <v>300</v>
      </c>
      <c r="M334" s="5">
        <f>K334 * L334</f>
        <v>1200</v>
      </c>
      <c r="N334" s="5">
        <f>M334 * $Q$4</f>
        <v>18</v>
      </c>
      <c r="O334" s="5">
        <f>M334* $Q$5</f>
        <v>24</v>
      </c>
    </row>
    <row r="335" spans="1:15">
      <c r="A335" s="2">
        <v>334</v>
      </c>
      <c r="B335" s="4">
        <f t="shared" si="15"/>
        <v>1</v>
      </c>
      <c r="C335" s="4">
        <f t="shared" si="16"/>
        <v>11</v>
      </c>
      <c r="D335" s="4">
        <f t="shared" si="17"/>
        <v>2023</v>
      </c>
      <c r="E335" s="3">
        <v>45231</v>
      </c>
      <c r="F335" s="4" t="s">
        <v>360</v>
      </c>
      <c r="G335" s="4" t="s">
        <v>16</v>
      </c>
      <c r="H335" s="4" t="str" cm="1">
        <f t="array" ref="H335">_xlfn.IFS(I335&lt;30, "Young Adult", I335&gt;=50, "Senior", I335&gt;=30, "Adult")</f>
        <v>Adult</v>
      </c>
      <c r="I335" s="4">
        <v>31</v>
      </c>
      <c r="J335" s="4" t="s">
        <v>24</v>
      </c>
      <c r="K335" s="4">
        <v>3</v>
      </c>
      <c r="L335" s="5">
        <v>300</v>
      </c>
      <c r="M335" s="5">
        <f>K335 * L335</f>
        <v>900</v>
      </c>
      <c r="N335" s="5">
        <f>M335 * $Q$4</f>
        <v>13.5</v>
      </c>
      <c r="O335" s="5">
        <f>M335* $Q$5</f>
        <v>18</v>
      </c>
    </row>
    <row r="336" spans="1:15">
      <c r="A336" s="2">
        <v>335</v>
      </c>
      <c r="B336" s="4">
        <f t="shared" si="15"/>
        <v>4</v>
      </c>
      <c r="C336" s="4">
        <f t="shared" si="16"/>
        <v>2</v>
      </c>
      <c r="D336" s="4">
        <f t="shared" si="17"/>
        <v>2023</v>
      </c>
      <c r="E336" s="3">
        <v>44961</v>
      </c>
      <c r="F336" s="4" t="s">
        <v>361</v>
      </c>
      <c r="G336" s="4" t="s">
        <v>19</v>
      </c>
      <c r="H336" s="4" t="str" cm="1">
        <f t="array" ref="H336">_xlfn.IFS(I336&lt;30, "Young Adult", I336&gt;=50, "Senior", I336&gt;=30, "Adult")</f>
        <v>Adult</v>
      </c>
      <c r="I336" s="4">
        <v>47</v>
      </c>
      <c r="J336" s="4" t="s">
        <v>17</v>
      </c>
      <c r="K336" s="4">
        <v>4</v>
      </c>
      <c r="L336" s="5">
        <v>30</v>
      </c>
      <c r="M336" s="5">
        <f>K336 * L336</f>
        <v>120</v>
      </c>
      <c r="N336" s="5">
        <f>M336 * $Q$4</f>
        <v>1.7999999999999998</v>
      </c>
      <c r="O336" s="5">
        <f>M336* $Q$5</f>
        <v>2.4</v>
      </c>
    </row>
    <row r="337" spans="1:15">
      <c r="A337" s="2">
        <v>336</v>
      </c>
      <c r="B337" s="4">
        <f t="shared" si="15"/>
        <v>12</v>
      </c>
      <c r="C337" s="4">
        <f t="shared" si="16"/>
        <v>12</v>
      </c>
      <c r="D337" s="4">
        <f t="shared" si="17"/>
        <v>2023</v>
      </c>
      <c r="E337" s="3">
        <v>45272</v>
      </c>
      <c r="F337" s="4" t="s">
        <v>362</v>
      </c>
      <c r="G337" s="4" t="s">
        <v>19</v>
      </c>
      <c r="H337" s="4" t="str" cm="1">
        <f t="array" ref="H337">_xlfn.IFS(I337&lt;30, "Young Adult", I337&gt;=50, "Senior", I337&gt;=30, "Adult")</f>
        <v>Senior</v>
      </c>
      <c r="I337" s="4">
        <v>52</v>
      </c>
      <c r="J337" s="4" t="s">
        <v>17</v>
      </c>
      <c r="K337" s="4">
        <v>3</v>
      </c>
      <c r="L337" s="5">
        <v>50</v>
      </c>
      <c r="M337" s="5">
        <f>K337 * L337</f>
        <v>150</v>
      </c>
      <c r="N337" s="5">
        <f>M337 * $Q$4</f>
        <v>2.25</v>
      </c>
      <c r="O337" s="5">
        <f>M337* $Q$5</f>
        <v>3</v>
      </c>
    </row>
    <row r="338" spans="1:15">
      <c r="A338" s="2">
        <v>337</v>
      </c>
      <c r="B338" s="4">
        <f t="shared" si="15"/>
        <v>1</v>
      </c>
      <c r="C338" s="4">
        <f t="shared" si="16"/>
        <v>5</v>
      </c>
      <c r="D338" s="4">
        <f t="shared" si="17"/>
        <v>2023</v>
      </c>
      <c r="E338" s="3">
        <v>45047</v>
      </c>
      <c r="F338" s="4" t="s">
        <v>363</v>
      </c>
      <c r="G338" s="4" t="s">
        <v>16</v>
      </c>
      <c r="H338" s="4" t="str" cm="1">
        <f t="array" ref="H338">_xlfn.IFS(I338&lt;30, "Young Adult", I338&gt;=50, "Senior", I338&gt;=30, "Adult")</f>
        <v>Adult</v>
      </c>
      <c r="I338" s="4">
        <v>38</v>
      </c>
      <c r="J338" s="4" t="s">
        <v>20</v>
      </c>
      <c r="K338" s="4">
        <v>1</v>
      </c>
      <c r="L338" s="5">
        <v>500</v>
      </c>
      <c r="M338" s="5">
        <f>K338 * L338</f>
        <v>500</v>
      </c>
      <c r="N338" s="5">
        <f>M338 * $Q$4</f>
        <v>7.5</v>
      </c>
      <c r="O338" s="5">
        <f>M338* $Q$5</f>
        <v>10</v>
      </c>
    </row>
    <row r="339" spans="1:15">
      <c r="A339" s="2">
        <v>338</v>
      </c>
      <c r="B339" s="4">
        <f t="shared" si="15"/>
        <v>26</v>
      </c>
      <c r="C339" s="4">
        <f t="shared" si="16"/>
        <v>7</v>
      </c>
      <c r="D339" s="4">
        <f t="shared" si="17"/>
        <v>2023</v>
      </c>
      <c r="E339" s="3">
        <v>45133</v>
      </c>
      <c r="F339" s="4" t="s">
        <v>364</v>
      </c>
      <c r="G339" s="4" t="s">
        <v>16</v>
      </c>
      <c r="H339" s="4" t="str" cm="1">
        <f t="array" ref="H339">_xlfn.IFS(I339&lt;30, "Young Adult", I339&gt;=50, "Senior", I339&gt;=30, "Adult")</f>
        <v>Senior</v>
      </c>
      <c r="I339" s="4">
        <v>54</v>
      </c>
      <c r="J339" s="4" t="s">
        <v>17</v>
      </c>
      <c r="K339" s="4">
        <v>2</v>
      </c>
      <c r="L339" s="5">
        <v>50</v>
      </c>
      <c r="M339" s="5">
        <f>K339 * L339</f>
        <v>100</v>
      </c>
      <c r="N339" s="5">
        <f>M339 * $Q$4</f>
        <v>1.5</v>
      </c>
      <c r="O339" s="5">
        <f>M339* $Q$5</f>
        <v>2</v>
      </c>
    </row>
    <row r="340" spans="1:15">
      <c r="A340" s="2">
        <v>339</v>
      </c>
      <c r="B340" s="4">
        <f t="shared" si="15"/>
        <v>3</v>
      </c>
      <c r="C340" s="4">
        <f t="shared" si="16"/>
        <v>3</v>
      </c>
      <c r="D340" s="4">
        <f t="shared" si="17"/>
        <v>2023</v>
      </c>
      <c r="E340" s="3">
        <v>44988</v>
      </c>
      <c r="F340" s="4" t="s">
        <v>365</v>
      </c>
      <c r="G340" s="4" t="s">
        <v>19</v>
      </c>
      <c r="H340" s="4" t="str" cm="1">
        <f t="array" ref="H340">_xlfn.IFS(I340&lt;30, "Young Adult", I340&gt;=50, "Senior", I340&gt;=30, "Adult")</f>
        <v>Young Adult</v>
      </c>
      <c r="I340" s="4">
        <v>22</v>
      </c>
      <c r="J340" s="4" t="s">
        <v>24</v>
      </c>
      <c r="K340" s="4">
        <v>2</v>
      </c>
      <c r="L340" s="5">
        <v>25</v>
      </c>
      <c r="M340" s="5">
        <f>K340 * L340</f>
        <v>50</v>
      </c>
      <c r="N340" s="5">
        <f>M340 * $Q$4</f>
        <v>0.75</v>
      </c>
      <c r="O340" s="5">
        <f>M340* $Q$5</f>
        <v>1</v>
      </c>
    </row>
    <row r="341" spans="1:15">
      <c r="A341" s="2">
        <v>340</v>
      </c>
      <c r="B341" s="4">
        <f t="shared" si="15"/>
        <v>19</v>
      </c>
      <c r="C341" s="4">
        <f t="shared" si="16"/>
        <v>10</v>
      </c>
      <c r="D341" s="4">
        <f t="shared" si="17"/>
        <v>2023</v>
      </c>
      <c r="E341" s="3">
        <v>45218</v>
      </c>
      <c r="F341" s="4" t="s">
        <v>366</v>
      </c>
      <c r="G341" s="4" t="s">
        <v>19</v>
      </c>
      <c r="H341" s="4" t="str" cm="1">
        <f t="array" ref="H341">_xlfn.IFS(I341&lt;30, "Young Adult", I341&gt;=50, "Senior", I341&gt;=30, "Adult")</f>
        <v>Adult</v>
      </c>
      <c r="I341" s="4">
        <v>36</v>
      </c>
      <c r="J341" s="4" t="s">
        <v>20</v>
      </c>
      <c r="K341" s="4">
        <v>4</v>
      </c>
      <c r="L341" s="5">
        <v>300</v>
      </c>
      <c r="M341" s="5">
        <f>K341 * L341</f>
        <v>1200</v>
      </c>
      <c r="N341" s="5">
        <f>M341 * $Q$4</f>
        <v>18</v>
      </c>
      <c r="O341" s="5">
        <f>M341* $Q$5</f>
        <v>24</v>
      </c>
    </row>
    <row r="342" spans="1:15">
      <c r="A342" s="2">
        <v>341</v>
      </c>
      <c r="B342" s="4">
        <f t="shared" si="15"/>
        <v>7</v>
      </c>
      <c r="C342" s="4">
        <f t="shared" si="16"/>
        <v>5</v>
      </c>
      <c r="D342" s="4">
        <f t="shared" si="17"/>
        <v>2023</v>
      </c>
      <c r="E342" s="3">
        <v>45053</v>
      </c>
      <c r="F342" s="4" t="s">
        <v>367</v>
      </c>
      <c r="G342" s="4" t="s">
        <v>16</v>
      </c>
      <c r="H342" s="4" t="str" cm="1">
        <f t="array" ref="H342">_xlfn.IFS(I342&lt;30, "Young Adult", I342&gt;=50, "Senior", I342&gt;=30, "Adult")</f>
        <v>Adult</v>
      </c>
      <c r="I342" s="4">
        <v>31</v>
      </c>
      <c r="J342" s="4" t="s">
        <v>20</v>
      </c>
      <c r="K342" s="4">
        <v>4</v>
      </c>
      <c r="L342" s="5">
        <v>50</v>
      </c>
      <c r="M342" s="5">
        <f>K342 * L342</f>
        <v>200</v>
      </c>
      <c r="N342" s="5">
        <f>M342 * $Q$4</f>
        <v>3</v>
      </c>
      <c r="O342" s="5">
        <f>M342* $Q$5</f>
        <v>4</v>
      </c>
    </row>
    <row r="343" spans="1:15">
      <c r="A343" s="2">
        <v>342</v>
      </c>
      <c r="B343" s="4">
        <f t="shared" si="15"/>
        <v>24</v>
      </c>
      <c r="C343" s="4">
        <f t="shared" si="16"/>
        <v>10</v>
      </c>
      <c r="D343" s="4">
        <f t="shared" si="17"/>
        <v>2023</v>
      </c>
      <c r="E343" s="3">
        <v>45223</v>
      </c>
      <c r="F343" s="4" t="s">
        <v>368</v>
      </c>
      <c r="G343" s="4" t="s">
        <v>19</v>
      </c>
      <c r="H343" s="4" t="str" cm="1">
        <f t="array" ref="H343">_xlfn.IFS(I343&lt;30, "Young Adult", I343&gt;=50, "Senior", I343&gt;=30, "Adult")</f>
        <v>Adult</v>
      </c>
      <c r="I343" s="4">
        <v>43</v>
      </c>
      <c r="J343" s="4" t="s">
        <v>20</v>
      </c>
      <c r="K343" s="4">
        <v>4</v>
      </c>
      <c r="L343" s="5">
        <v>500</v>
      </c>
      <c r="M343" s="5">
        <f>K343 * L343</f>
        <v>2000</v>
      </c>
      <c r="N343" s="5">
        <f>M343 * $Q$4</f>
        <v>30</v>
      </c>
      <c r="O343" s="5">
        <f>M343* $Q$5</f>
        <v>40</v>
      </c>
    </row>
    <row r="344" spans="1:15">
      <c r="A344" s="2">
        <v>343</v>
      </c>
      <c r="B344" s="4">
        <f t="shared" si="15"/>
        <v>1</v>
      </c>
      <c r="C344" s="4">
        <f t="shared" si="16"/>
        <v>11</v>
      </c>
      <c r="D344" s="4">
        <f t="shared" si="17"/>
        <v>2023</v>
      </c>
      <c r="E344" s="3">
        <v>45231</v>
      </c>
      <c r="F344" s="4" t="s">
        <v>369</v>
      </c>
      <c r="G344" s="4" t="s">
        <v>16</v>
      </c>
      <c r="H344" s="4" t="str" cm="1">
        <f t="array" ref="H344">_xlfn.IFS(I344&lt;30, "Young Adult", I344&gt;=50, "Senior", I344&gt;=30, "Adult")</f>
        <v>Young Adult</v>
      </c>
      <c r="I344" s="4">
        <v>21</v>
      </c>
      <c r="J344" s="4" t="s">
        <v>24</v>
      </c>
      <c r="K344" s="4">
        <v>2</v>
      </c>
      <c r="L344" s="5">
        <v>25</v>
      </c>
      <c r="M344" s="5">
        <f>K344 * L344</f>
        <v>50</v>
      </c>
      <c r="N344" s="5">
        <f>M344 * $Q$4</f>
        <v>0.75</v>
      </c>
      <c r="O344" s="5">
        <f>M344* $Q$5</f>
        <v>1</v>
      </c>
    </row>
    <row r="345" spans="1:15">
      <c r="A345" s="2">
        <v>344</v>
      </c>
      <c r="B345" s="4">
        <f t="shared" si="15"/>
        <v>21</v>
      </c>
      <c r="C345" s="4">
        <f t="shared" si="16"/>
        <v>1</v>
      </c>
      <c r="D345" s="4">
        <f t="shared" si="17"/>
        <v>2023</v>
      </c>
      <c r="E345" s="3">
        <v>44947</v>
      </c>
      <c r="F345" s="4" t="s">
        <v>370</v>
      </c>
      <c r="G345" s="4" t="s">
        <v>19</v>
      </c>
      <c r="H345" s="4" t="str" cm="1">
        <f t="array" ref="H345">_xlfn.IFS(I345&lt;30, "Young Adult", I345&gt;=50, "Senior", I345&gt;=30, "Adult")</f>
        <v>Adult</v>
      </c>
      <c r="I345" s="4">
        <v>42</v>
      </c>
      <c r="J345" s="4" t="s">
        <v>17</v>
      </c>
      <c r="K345" s="4">
        <v>1</v>
      </c>
      <c r="L345" s="5">
        <v>30</v>
      </c>
      <c r="M345" s="5">
        <f>K345 * L345</f>
        <v>30</v>
      </c>
      <c r="N345" s="5">
        <f>M345 * $Q$4</f>
        <v>0.44999999999999996</v>
      </c>
      <c r="O345" s="5">
        <f>M345* $Q$5</f>
        <v>0.6</v>
      </c>
    </row>
    <row r="346" spans="1:15">
      <c r="A346" s="2">
        <v>345</v>
      </c>
      <c r="B346" s="4">
        <f t="shared" si="15"/>
        <v>14</v>
      </c>
      <c r="C346" s="4">
        <f t="shared" si="16"/>
        <v>11</v>
      </c>
      <c r="D346" s="4">
        <f t="shared" si="17"/>
        <v>2023</v>
      </c>
      <c r="E346" s="3">
        <v>45244</v>
      </c>
      <c r="F346" s="4" t="s">
        <v>371</v>
      </c>
      <c r="G346" s="4" t="s">
        <v>16</v>
      </c>
      <c r="H346" s="4" t="str" cm="1">
        <f t="array" ref="H346">_xlfn.IFS(I346&lt;30, "Young Adult", I346&gt;=50, "Senior", I346&gt;=30, "Adult")</f>
        <v>Senior</v>
      </c>
      <c r="I346" s="4">
        <v>62</v>
      </c>
      <c r="J346" s="4" t="s">
        <v>24</v>
      </c>
      <c r="K346" s="4">
        <v>1</v>
      </c>
      <c r="L346" s="5">
        <v>30</v>
      </c>
      <c r="M346" s="5">
        <f>K346 * L346</f>
        <v>30</v>
      </c>
      <c r="N346" s="5">
        <f>M346 * $Q$4</f>
        <v>0.44999999999999996</v>
      </c>
      <c r="O346" s="5">
        <f>M346* $Q$5</f>
        <v>0.6</v>
      </c>
    </row>
    <row r="347" spans="1:15">
      <c r="A347" s="2">
        <v>346</v>
      </c>
      <c r="B347" s="4">
        <f t="shared" si="15"/>
        <v>11</v>
      </c>
      <c r="C347" s="4">
        <f t="shared" si="16"/>
        <v>2</v>
      </c>
      <c r="D347" s="4">
        <f t="shared" si="17"/>
        <v>2023</v>
      </c>
      <c r="E347" s="3">
        <v>44968</v>
      </c>
      <c r="F347" s="4" t="s">
        <v>372</v>
      </c>
      <c r="G347" s="4" t="s">
        <v>16</v>
      </c>
      <c r="H347" s="4" t="str" cm="1">
        <f t="array" ref="H347">_xlfn.IFS(I347&lt;30, "Young Adult", I347&gt;=50, "Senior", I347&gt;=30, "Adult")</f>
        <v>Senior</v>
      </c>
      <c r="I347" s="4">
        <v>59</v>
      </c>
      <c r="J347" s="4" t="s">
        <v>20</v>
      </c>
      <c r="K347" s="4">
        <v>2</v>
      </c>
      <c r="L347" s="5">
        <v>500</v>
      </c>
      <c r="M347" s="5">
        <f>K347 * L347</f>
        <v>1000</v>
      </c>
      <c r="N347" s="5">
        <f>M347 * $Q$4</f>
        <v>15</v>
      </c>
      <c r="O347" s="5">
        <f>M347* $Q$5</f>
        <v>20</v>
      </c>
    </row>
    <row r="348" spans="1:15">
      <c r="A348" s="2">
        <v>347</v>
      </c>
      <c r="B348" s="4">
        <f t="shared" si="15"/>
        <v>3</v>
      </c>
      <c r="C348" s="4">
        <f t="shared" si="16"/>
        <v>8</v>
      </c>
      <c r="D348" s="4">
        <f t="shared" si="17"/>
        <v>2023</v>
      </c>
      <c r="E348" s="3">
        <v>45141</v>
      </c>
      <c r="F348" s="4" t="s">
        <v>373</v>
      </c>
      <c r="G348" s="4" t="s">
        <v>16</v>
      </c>
      <c r="H348" s="4" t="str" cm="1">
        <f t="array" ref="H348">_xlfn.IFS(I348&lt;30, "Young Adult", I348&gt;=50, "Senior", I348&gt;=30, "Adult")</f>
        <v>Adult</v>
      </c>
      <c r="I348" s="4">
        <v>42</v>
      </c>
      <c r="J348" s="4" t="s">
        <v>24</v>
      </c>
      <c r="K348" s="4">
        <v>1</v>
      </c>
      <c r="L348" s="5">
        <v>25</v>
      </c>
      <c r="M348" s="5">
        <f>K348 * L348</f>
        <v>25</v>
      </c>
      <c r="N348" s="5">
        <f>M348 * $Q$4</f>
        <v>0.375</v>
      </c>
      <c r="O348" s="5">
        <f>M348* $Q$5</f>
        <v>0.5</v>
      </c>
    </row>
    <row r="349" spans="1:15">
      <c r="A349" s="2">
        <v>348</v>
      </c>
      <c r="B349" s="4">
        <f t="shared" si="15"/>
        <v>3</v>
      </c>
      <c r="C349" s="4">
        <f t="shared" si="16"/>
        <v>12</v>
      </c>
      <c r="D349" s="4">
        <f t="shared" si="17"/>
        <v>2023</v>
      </c>
      <c r="E349" s="3">
        <v>45263</v>
      </c>
      <c r="F349" s="4" t="s">
        <v>374</v>
      </c>
      <c r="G349" s="4" t="s">
        <v>19</v>
      </c>
      <c r="H349" s="4" t="str" cm="1">
        <f t="array" ref="H349">_xlfn.IFS(I349&lt;30, "Young Adult", I349&gt;=50, "Senior", I349&gt;=30, "Adult")</f>
        <v>Adult</v>
      </c>
      <c r="I349" s="4">
        <v>35</v>
      </c>
      <c r="J349" s="4" t="s">
        <v>24</v>
      </c>
      <c r="K349" s="4">
        <v>2</v>
      </c>
      <c r="L349" s="5">
        <v>300</v>
      </c>
      <c r="M349" s="5">
        <f>K349 * L349</f>
        <v>600</v>
      </c>
      <c r="N349" s="5">
        <f>M349 * $Q$4</f>
        <v>9</v>
      </c>
      <c r="O349" s="5">
        <f>M349* $Q$5</f>
        <v>12</v>
      </c>
    </row>
    <row r="350" spans="1:15">
      <c r="A350" s="2">
        <v>349</v>
      </c>
      <c r="B350" s="4">
        <f t="shared" si="15"/>
        <v>26</v>
      </c>
      <c r="C350" s="4">
        <f t="shared" si="16"/>
        <v>10</v>
      </c>
      <c r="D350" s="4">
        <f t="shared" si="17"/>
        <v>2023</v>
      </c>
      <c r="E350" s="3">
        <v>45225</v>
      </c>
      <c r="F350" s="4" t="s">
        <v>375</v>
      </c>
      <c r="G350" s="4" t="s">
        <v>19</v>
      </c>
      <c r="H350" s="4" t="str" cm="1">
        <f t="array" ref="H350">_xlfn.IFS(I350&lt;30, "Young Adult", I350&gt;=50, "Senior", I350&gt;=30, "Adult")</f>
        <v>Senior</v>
      </c>
      <c r="I350" s="4">
        <v>57</v>
      </c>
      <c r="J350" s="4" t="s">
        <v>17</v>
      </c>
      <c r="K350" s="4">
        <v>1</v>
      </c>
      <c r="L350" s="5">
        <v>50</v>
      </c>
      <c r="M350" s="5">
        <f>K350 * L350</f>
        <v>50</v>
      </c>
      <c r="N350" s="5">
        <f>M350 * $Q$4</f>
        <v>0.75</v>
      </c>
      <c r="O350" s="5">
        <f>M350* $Q$5</f>
        <v>1</v>
      </c>
    </row>
    <row r="351" spans="1:15">
      <c r="A351" s="2">
        <v>350</v>
      </c>
      <c r="B351" s="4">
        <f t="shared" si="15"/>
        <v>17</v>
      </c>
      <c r="C351" s="4">
        <f t="shared" si="16"/>
        <v>10</v>
      </c>
      <c r="D351" s="4">
        <f t="shared" si="17"/>
        <v>2023</v>
      </c>
      <c r="E351" s="3">
        <v>45216</v>
      </c>
      <c r="F351" s="4" t="s">
        <v>376</v>
      </c>
      <c r="G351" s="4" t="s">
        <v>16</v>
      </c>
      <c r="H351" s="4" t="str" cm="1">
        <f t="array" ref="H351">_xlfn.IFS(I351&lt;30, "Young Adult", I351&gt;=50, "Senior", I351&gt;=30, "Adult")</f>
        <v>Young Adult</v>
      </c>
      <c r="I351" s="4">
        <v>25</v>
      </c>
      <c r="J351" s="4" t="s">
        <v>17</v>
      </c>
      <c r="K351" s="4">
        <v>3</v>
      </c>
      <c r="L351" s="5">
        <v>25</v>
      </c>
      <c r="M351" s="5">
        <f>K351 * L351</f>
        <v>75</v>
      </c>
      <c r="N351" s="5">
        <f>M351 * $Q$4</f>
        <v>1.125</v>
      </c>
      <c r="O351" s="5">
        <f>M351* $Q$5</f>
        <v>1.5</v>
      </c>
    </row>
    <row r="352" spans="1:15">
      <c r="A352" s="2">
        <v>351</v>
      </c>
      <c r="B352" s="4">
        <f t="shared" si="15"/>
        <v>25</v>
      </c>
      <c r="C352" s="4">
        <f t="shared" si="16"/>
        <v>9</v>
      </c>
      <c r="D352" s="4">
        <f t="shared" si="17"/>
        <v>2023</v>
      </c>
      <c r="E352" s="3">
        <v>45194</v>
      </c>
      <c r="F352" s="4" t="s">
        <v>377</v>
      </c>
      <c r="G352" s="4" t="s">
        <v>19</v>
      </c>
      <c r="H352" s="4" t="str" cm="1">
        <f t="array" ref="H352">_xlfn.IFS(I352&lt;30, "Young Adult", I352&gt;=50, "Senior", I352&gt;=30, "Adult")</f>
        <v>Senior</v>
      </c>
      <c r="I352" s="4">
        <v>56</v>
      </c>
      <c r="J352" s="4" t="s">
        <v>20</v>
      </c>
      <c r="K352" s="4">
        <v>3</v>
      </c>
      <c r="L352" s="5">
        <v>30</v>
      </c>
      <c r="M352" s="5">
        <f>K352 * L352</f>
        <v>90</v>
      </c>
      <c r="N352" s="5">
        <f>M352 * $Q$4</f>
        <v>1.3499999999999999</v>
      </c>
      <c r="O352" s="5">
        <f>M352* $Q$5</f>
        <v>1.8</v>
      </c>
    </row>
    <row r="353" spans="1:15">
      <c r="A353" s="2">
        <v>352</v>
      </c>
      <c r="B353" s="4">
        <f t="shared" si="15"/>
        <v>11</v>
      </c>
      <c r="C353" s="4">
        <f t="shared" si="16"/>
        <v>6</v>
      </c>
      <c r="D353" s="4">
        <f t="shared" si="17"/>
        <v>2023</v>
      </c>
      <c r="E353" s="3">
        <v>45088</v>
      </c>
      <c r="F353" s="4" t="s">
        <v>378</v>
      </c>
      <c r="G353" s="4" t="s">
        <v>16</v>
      </c>
      <c r="H353" s="4" t="str" cm="1">
        <f t="array" ref="H353">_xlfn.IFS(I353&lt;30, "Young Adult", I353&gt;=50, "Senior", I353&gt;=30, "Adult")</f>
        <v>Senior</v>
      </c>
      <c r="I353" s="4">
        <v>57</v>
      </c>
      <c r="J353" s="4" t="s">
        <v>24</v>
      </c>
      <c r="K353" s="4">
        <v>2</v>
      </c>
      <c r="L353" s="5">
        <v>500</v>
      </c>
      <c r="M353" s="5">
        <f>K353 * L353</f>
        <v>1000</v>
      </c>
      <c r="N353" s="5">
        <f>M353 * $Q$4</f>
        <v>15</v>
      </c>
      <c r="O353" s="5">
        <f>M353* $Q$5</f>
        <v>20</v>
      </c>
    </row>
    <row r="354" spans="1:15">
      <c r="A354" s="2">
        <v>353</v>
      </c>
      <c r="B354" s="4">
        <f t="shared" si="15"/>
        <v>14</v>
      </c>
      <c r="C354" s="4">
        <f t="shared" si="16"/>
        <v>5</v>
      </c>
      <c r="D354" s="4">
        <f t="shared" si="17"/>
        <v>2023</v>
      </c>
      <c r="E354" s="3">
        <v>45060</v>
      </c>
      <c r="F354" s="4" t="s">
        <v>379</v>
      </c>
      <c r="G354" s="4" t="s">
        <v>16</v>
      </c>
      <c r="H354" s="4" t="str" cm="1">
        <f t="array" ref="H354">_xlfn.IFS(I354&lt;30, "Young Adult", I354&gt;=50, "Senior", I354&gt;=30, "Adult")</f>
        <v>Adult</v>
      </c>
      <c r="I354" s="4">
        <v>31</v>
      </c>
      <c r="J354" s="4" t="s">
        <v>24</v>
      </c>
      <c r="K354" s="4">
        <v>1</v>
      </c>
      <c r="L354" s="5">
        <v>500</v>
      </c>
      <c r="M354" s="5">
        <f>K354 * L354</f>
        <v>500</v>
      </c>
      <c r="N354" s="5">
        <f>M354 * $Q$4</f>
        <v>7.5</v>
      </c>
      <c r="O354" s="5">
        <f>M354* $Q$5</f>
        <v>10</v>
      </c>
    </row>
    <row r="355" spans="1:15">
      <c r="A355" s="2">
        <v>354</v>
      </c>
      <c r="B355" s="4">
        <f t="shared" si="15"/>
        <v>15</v>
      </c>
      <c r="C355" s="4">
        <f t="shared" si="16"/>
        <v>4</v>
      </c>
      <c r="D355" s="4">
        <f t="shared" si="17"/>
        <v>2023</v>
      </c>
      <c r="E355" s="3">
        <v>45031</v>
      </c>
      <c r="F355" s="4" t="s">
        <v>380</v>
      </c>
      <c r="G355" s="4" t="s">
        <v>19</v>
      </c>
      <c r="H355" s="4" t="str" cm="1">
        <f t="array" ref="H355">_xlfn.IFS(I355&lt;30, "Young Adult", I355&gt;=50, "Senior", I355&gt;=30, "Adult")</f>
        <v>Adult</v>
      </c>
      <c r="I355" s="4">
        <v>49</v>
      </c>
      <c r="J355" s="4" t="s">
        <v>17</v>
      </c>
      <c r="K355" s="4">
        <v>4</v>
      </c>
      <c r="L355" s="5">
        <v>50</v>
      </c>
      <c r="M355" s="5">
        <f>K355 * L355</f>
        <v>200</v>
      </c>
      <c r="N355" s="5">
        <f>M355 * $Q$4</f>
        <v>3</v>
      </c>
      <c r="O355" s="5">
        <f>M355* $Q$5</f>
        <v>4</v>
      </c>
    </row>
    <row r="356" spans="1:15">
      <c r="A356" s="2">
        <v>355</v>
      </c>
      <c r="B356" s="4">
        <f t="shared" si="15"/>
        <v>9</v>
      </c>
      <c r="C356" s="4">
        <f t="shared" si="16"/>
        <v>12</v>
      </c>
      <c r="D356" s="4">
        <f t="shared" si="17"/>
        <v>2023</v>
      </c>
      <c r="E356" s="3">
        <v>45269</v>
      </c>
      <c r="F356" s="4" t="s">
        <v>381</v>
      </c>
      <c r="G356" s="4" t="s">
        <v>19</v>
      </c>
      <c r="H356" s="4" t="str" cm="1">
        <f t="array" ref="H356">_xlfn.IFS(I356&lt;30, "Young Adult", I356&gt;=50, "Senior", I356&gt;=30, "Adult")</f>
        <v>Senior</v>
      </c>
      <c r="I356" s="4">
        <v>55</v>
      </c>
      <c r="J356" s="4" t="s">
        <v>24</v>
      </c>
      <c r="K356" s="4">
        <v>1</v>
      </c>
      <c r="L356" s="5">
        <v>500</v>
      </c>
      <c r="M356" s="5">
        <f>K356 * L356</f>
        <v>500</v>
      </c>
      <c r="N356" s="5">
        <f>M356 * $Q$4</f>
        <v>7.5</v>
      </c>
      <c r="O356" s="5">
        <f>M356* $Q$5</f>
        <v>10</v>
      </c>
    </row>
    <row r="357" spans="1:15">
      <c r="A357" s="2">
        <v>356</v>
      </c>
      <c r="B357" s="4">
        <f t="shared" si="15"/>
        <v>10</v>
      </c>
      <c r="C357" s="4">
        <f t="shared" si="16"/>
        <v>6</v>
      </c>
      <c r="D357" s="4">
        <f t="shared" si="17"/>
        <v>2023</v>
      </c>
      <c r="E357" s="3">
        <v>45087</v>
      </c>
      <c r="F357" s="4" t="s">
        <v>382</v>
      </c>
      <c r="G357" s="4" t="s">
        <v>16</v>
      </c>
      <c r="H357" s="4" t="str" cm="1">
        <f t="array" ref="H357">_xlfn.IFS(I357&lt;30, "Young Adult", I357&gt;=50, "Senior", I357&gt;=30, "Adult")</f>
        <v>Senior</v>
      </c>
      <c r="I357" s="4">
        <v>50</v>
      </c>
      <c r="J357" s="4" t="s">
        <v>24</v>
      </c>
      <c r="K357" s="4">
        <v>3</v>
      </c>
      <c r="L357" s="5">
        <v>500</v>
      </c>
      <c r="M357" s="5">
        <f>K357 * L357</f>
        <v>1500</v>
      </c>
      <c r="N357" s="5">
        <f>M357 * $Q$4</f>
        <v>22.5</v>
      </c>
      <c r="O357" s="5">
        <f>M357* $Q$5</f>
        <v>30</v>
      </c>
    </row>
    <row r="358" spans="1:15">
      <c r="A358" s="2">
        <v>357</v>
      </c>
      <c r="B358" s="4">
        <f t="shared" si="15"/>
        <v>3</v>
      </c>
      <c r="C358" s="4">
        <f t="shared" si="16"/>
        <v>5</v>
      </c>
      <c r="D358" s="4">
        <f t="shared" si="17"/>
        <v>2023</v>
      </c>
      <c r="E358" s="3">
        <v>45049</v>
      </c>
      <c r="F358" s="4" t="s">
        <v>383</v>
      </c>
      <c r="G358" s="4" t="s">
        <v>19</v>
      </c>
      <c r="H358" s="4" t="str" cm="1">
        <f t="array" ref="H358">_xlfn.IFS(I358&lt;30, "Young Adult", I358&gt;=50, "Senior", I358&gt;=30, "Adult")</f>
        <v>Adult</v>
      </c>
      <c r="I358" s="4">
        <v>40</v>
      </c>
      <c r="J358" s="4" t="s">
        <v>24</v>
      </c>
      <c r="K358" s="4">
        <v>3</v>
      </c>
      <c r="L358" s="5">
        <v>25</v>
      </c>
      <c r="M358" s="5">
        <f>K358 * L358</f>
        <v>75</v>
      </c>
      <c r="N358" s="5">
        <f>M358 * $Q$4</f>
        <v>1.125</v>
      </c>
      <c r="O358" s="5">
        <f>M358* $Q$5</f>
        <v>1.5</v>
      </c>
    </row>
    <row r="359" spans="1:15">
      <c r="A359" s="2">
        <v>358</v>
      </c>
      <c r="B359" s="4">
        <f t="shared" si="15"/>
        <v>16</v>
      </c>
      <c r="C359" s="4">
        <f t="shared" si="16"/>
        <v>5</v>
      </c>
      <c r="D359" s="4">
        <f t="shared" si="17"/>
        <v>2023</v>
      </c>
      <c r="E359" s="3">
        <v>45062</v>
      </c>
      <c r="F359" s="4" t="s">
        <v>384</v>
      </c>
      <c r="G359" s="4" t="s">
        <v>19</v>
      </c>
      <c r="H359" s="4" t="str" cm="1">
        <f t="array" ref="H359">_xlfn.IFS(I359&lt;30, "Young Adult", I359&gt;=50, "Senior", I359&gt;=30, "Adult")</f>
        <v>Adult</v>
      </c>
      <c r="I359" s="4">
        <v>32</v>
      </c>
      <c r="J359" s="4" t="s">
        <v>17</v>
      </c>
      <c r="K359" s="4">
        <v>1</v>
      </c>
      <c r="L359" s="5">
        <v>300</v>
      </c>
      <c r="M359" s="5">
        <f>K359 * L359</f>
        <v>300</v>
      </c>
      <c r="N359" s="5">
        <f>M359 * $Q$4</f>
        <v>4.5</v>
      </c>
      <c r="O359" s="5">
        <f>M359* $Q$5</f>
        <v>6</v>
      </c>
    </row>
    <row r="360" spans="1:15">
      <c r="A360" s="2">
        <v>359</v>
      </c>
      <c r="B360" s="4">
        <f t="shared" si="15"/>
        <v>22</v>
      </c>
      <c r="C360" s="4">
        <f t="shared" si="16"/>
        <v>7</v>
      </c>
      <c r="D360" s="4">
        <f t="shared" si="17"/>
        <v>2023</v>
      </c>
      <c r="E360" s="3">
        <v>45129</v>
      </c>
      <c r="F360" s="4" t="s">
        <v>385</v>
      </c>
      <c r="G360" s="4" t="s">
        <v>16</v>
      </c>
      <c r="H360" s="4" t="str" cm="1">
        <f t="array" ref="H360">_xlfn.IFS(I360&lt;30, "Young Adult", I360&gt;=50, "Senior", I360&gt;=30, "Adult")</f>
        <v>Senior</v>
      </c>
      <c r="I360" s="4">
        <v>50</v>
      </c>
      <c r="J360" s="4" t="s">
        <v>20</v>
      </c>
      <c r="K360" s="4">
        <v>1</v>
      </c>
      <c r="L360" s="5">
        <v>50</v>
      </c>
      <c r="M360" s="5">
        <f>K360 * L360</f>
        <v>50</v>
      </c>
      <c r="N360" s="5">
        <f>M360 * $Q$4</f>
        <v>0.75</v>
      </c>
      <c r="O360" s="5">
        <f>M360* $Q$5</f>
        <v>1</v>
      </c>
    </row>
    <row r="361" spans="1:15">
      <c r="A361" s="2">
        <v>360</v>
      </c>
      <c r="B361" s="4">
        <f t="shared" si="15"/>
        <v>9</v>
      </c>
      <c r="C361" s="4">
        <f t="shared" si="16"/>
        <v>3</v>
      </c>
      <c r="D361" s="4">
        <f t="shared" si="17"/>
        <v>2023</v>
      </c>
      <c r="E361" s="3">
        <v>44994</v>
      </c>
      <c r="F361" s="4" t="s">
        <v>386</v>
      </c>
      <c r="G361" s="4" t="s">
        <v>16</v>
      </c>
      <c r="H361" s="4" t="str" cm="1">
        <f t="array" ref="H361">_xlfn.IFS(I361&lt;30, "Young Adult", I361&gt;=50, "Senior", I361&gt;=30, "Adult")</f>
        <v>Adult</v>
      </c>
      <c r="I361" s="4">
        <v>42</v>
      </c>
      <c r="J361" s="4" t="s">
        <v>20</v>
      </c>
      <c r="K361" s="4">
        <v>4</v>
      </c>
      <c r="L361" s="5">
        <v>25</v>
      </c>
      <c r="M361" s="5">
        <f>K361 * L361</f>
        <v>100</v>
      </c>
      <c r="N361" s="5">
        <f>M361 * $Q$4</f>
        <v>1.5</v>
      </c>
      <c r="O361" s="5">
        <f>M361* $Q$5</f>
        <v>2</v>
      </c>
    </row>
    <row r="362" spans="1:15">
      <c r="A362" s="2">
        <v>361</v>
      </c>
      <c r="B362" s="4">
        <f t="shared" si="15"/>
        <v>10</v>
      </c>
      <c r="C362" s="4">
        <f t="shared" si="16"/>
        <v>12</v>
      </c>
      <c r="D362" s="4">
        <f t="shared" si="17"/>
        <v>2023</v>
      </c>
      <c r="E362" s="3">
        <v>45270</v>
      </c>
      <c r="F362" s="4" t="s">
        <v>387</v>
      </c>
      <c r="G362" s="4" t="s">
        <v>19</v>
      </c>
      <c r="H362" s="4" t="str" cm="1">
        <f t="array" ref="H362">_xlfn.IFS(I362&lt;30, "Young Adult", I362&gt;=50, "Senior", I362&gt;=30, "Adult")</f>
        <v>Adult</v>
      </c>
      <c r="I362" s="4">
        <v>34</v>
      </c>
      <c r="J362" s="4" t="s">
        <v>24</v>
      </c>
      <c r="K362" s="4">
        <v>4</v>
      </c>
      <c r="L362" s="5">
        <v>300</v>
      </c>
      <c r="M362" s="5">
        <f>K362 * L362</f>
        <v>1200</v>
      </c>
      <c r="N362" s="5">
        <f>M362 * $Q$4</f>
        <v>18</v>
      </c>
      <c r="O362" s="5">
        <f>M362* $Q$5</f>
        <v>24</v>
      </c>
    </row>
    <row r="363" spans="1:15">
      <c r="A363" s="2">
        <v>362</v>
      </c>
      <c r="B363" s="4">
        <f t="shared" si="15"/>
        <v>27</v>
      </c>
      <c r="C363" s="4">
        <f t="shared" si="16"/>
        <v>11</v>
      </c>
      <c r="D363" s="4">
        <f t="shared" si="17"/>
        <v>2023</v>
      </c>
      <c r="E363" s="3">
        <v>45257</v>
      </c>
      <c r="F363" s="4" t="s">
        <v>388</v>
      </c>
      <c r="G363" s="4" t="s">
        <v>16</v>
      </c>
      <c r="H363" s="4" t="str" cm="1">
        <f t="array" ref="H363">_xlfn.IFS(I363&lt;30, "Young Adult", I363&gt;=50, "Senior", I363&gt;=30, "Adult")</f>
        <v>Senior</v>
      </c>
      <c r="I363" s="4">
        <v>50</v>
      </c>
      <c r="J363" s="4" t="s">
        <v>20</v>
      </c>
      <c r="K363" s="4">
        <v>1</v>
      </c>
      <c r="L363" s="5">
        <v>25</v>
      </c>
      <c r="M363" s="5">
        <f>K363 * L363</f>
        <v>25</v>
      </c>
      <c r="N363" s="5">
        <f>M363 * $Q$4</f>
        <v>0.375</v>
      </c>
      <c r="O363" s="5">
        <f>M363* $Q$5</f>
        <v>0.5</v>
      </c>
    </row>
    <row r="364" spans="1:15">
      <c r="A364" s="2">
        <v>363</v>
      </c>
      <c r="B364" s="4">
        <f t="shared" si="15"/>
        <v>3</v>
      </c>
      <c r="C364" s="4">
        <f t="shared" si="16"/>
        <v>6</v>
      </c>
      <c r="D364" s="4">
        <f t="shared" si="17"/>
        <v>2023</v>
      </c>
      <c r="E364" s="3">
        <v>45080</v>
      </c>
      <c r="F364" s="4" t="s">
        <v>389</v>
      </c>
      <c r="G364" s="4" t="s">
        <v>16</v>
      </c>
      <c r="H364" s="4" t="str" cm="1">
        <f t="array" ref="H364">_xlfn.IFS(I364&lt;30, "Young Adult", I364&gt;=50, "Senior", I364&gt;=30, "Adult")</f>
        <v>Senior</v>
      </c>
      <c r="I364" s="4">
        <v>64</v>
      </c>
      <c r="J364" s="4" t="s">
        <v>17</v>
      </c>
      <c r="K364" s="4">
        <v>1</v>
      </c>
      <c r="L364" s="5">
        <v>25</v>
      </c>
      <c r="M364" s="5">
        <f>K364 * L364</f>
        <v>25</v>
      </c>
      <c r="N364" s="5">
        <f>M364 * $Q$4</f>
        <v>0.375</v>
      </c>
      <c r="O364" s="5">
        <f>M364* $Q$5</f>
        <v>0.5</v>
      </c>
    </row>
    <row r="365" spans="1:15">
      <c r="A365" s="2">
        <v>364</v>
      </c>
      <c r="B365" s="4">
        <f t="shared" si="15"/>
        <v>23</v>
      </c>
      <c r="C365" s="4">
        <f t="shared" si="16"/>
        <v>8</v>
      </c>
      <c r="D365" s="4">
        <f t="shared" si="17"/>
        <v>2023</v>
      </c>
      <c r="E365" s="3">
        <v>45161</v>
      </c>
      <c r="F365" s="4" t="s">
        <v>390</v>
      </c>
      <c r="G365" s="4" t="s">
        <v>19</v>
      </c>
      <c r="H365" s="4" t="str" cm="1">
        <f t="array" ref="H365">_xlfn.IFS(I365&lt;30, "Young Adult", I365&gt;=50, "Senior", I365&gt;=30, "Adult")</f>
        <v>Young Adult</v>
      </c>
      <c r="I365" s="4">
        <v>19</v>
      </c>
      <c r="J365" s="4" t="s">
        <v>17</v>
      </c>
      <c r="K365" s="4">
        <v>1</v>
      </c>
      <c r="L365" s="5">
        <v>500</v>
      </c>
      <c r="M365" s="5">
        <f>K365 * L365</f>
        <v>500</v>
      </c>
      <c r="N365" s="5">
        <f>M365 * $Q$4</f>
        <v>7.5</v>
      </c>
      <c r="O365" s="5">
        <f>M365* $Q$5</f>
        <v>10</v>
      </c>
    </row>
    <row r="366" spans="1:15">
      <c r="A366" s="2">
        <v>365</v>
      </c>
      <c r="B366" s="4">
        <f t="shared" si="15"/>
        <v>11</v>
      </c>
      <c r="C366" s="4">
        <f t="shared" si="16"/>
        <v>6</v>
      </c>
      <c r="D366" s="4">
        <f t="shared" si="17"/>
        <v>2023</v>
      </c>
      <c r="E366" s="3">
        <v>45088</v>
      </c>
      <c r="F366" s="4" t="s">
        <v>391</v>
      </c>
      <c r="G366" s="4" t="s">
        <v>16</v>
      </c>
      <c r="H366" s="4" t="str" cm="1">
        <f t="array" ref="H366">_xlfn.IFS(I366&lt;30, "Young Adult", I366&gt;=50, "Senior", I366&gt;=30, "Adult")</f>
        <v>Adult</v>
      </c>
      <c r="I366" s="4">
        <v>31</v>
      </c>
      <c r="J366" s="4" t="s">
        <v>20</v>
      </c>
      <c r="K366" s="4">
        <v>1</v>
      </c>
      <c r="L366" s="5">
        <v>300</v>
      </c>
      <c r="M366" s="5">
        <f>K366 * L366</f>
        <v>300</v>
      </c>
      <c r="N366" s="5">
        <f>M366 * $Q$4</f>
        <v>4.5</v>
      </c>
      <c r="O366" s="5">
        <f>M366* $Q$5</f>
        <v>6</v>
      </c>
    </row>
    <row r="367" spans="1:15">
      <c r="A367" s="2">
        <v>366</v>
      </c>
      <c r="B367" s="4">
        <f t="shared" si="15"/>
        <v>7</v>
      </c>
      <c r="C367" s="4">
        <f t="shared" si="16"/>
        <v>2</v>
      </c>
      <c r="D367" s="4">
        <f t="shared" si="17"/>
        <v>2023</v>
      </c>
      <c r="E367" s="3">
        <v>44964</v>
      </c>
      <c r="F367" s="4" t="s">
        <v>392</v>
      </c>
      <c r="G367" s="4" t="s">
        <v>16</v>
      </c>
      <c r="H367" s="4" t="str" cm="1">
        <f t="array" ref="H367">_xlfn.IFS(I367&lt;30, "Young Adult", I367&gt;=50, "Senior", I367&gt;=30, "Adult")</f>
        <v>Senior</v>
      </c>
      <c r="I367" s="4">
        <v>57</v>
      </c>
      <c r="J367" s="4" t="s">
        <v>20</v>
      </c>
      <c r="K367" s="4">
        <v>2</v>
      </c>
      <c r="L367" s="5">
        <v>50</v>
      </c>
      <c r="M367" s="5">
        <f>K367 * L367</f>
        <v>100</v>
      </c>
      <c r="N367" s="5">
        <f>M367 * $Q$4</f>
        <v>1.5</v>
      </c>
      <c r="O367" s="5">
        <f>M367* $Q$5</f>
        <v>2</v>
      </c>
    </row>
    <row r="368" spans="1:15">
      <c r="A368" s="2">
        <v>367</v>
      </c>
      <c r="B368" s="4">
        <f t="shared" si="15"/>
        <v>5</v>
      </c>
      <c r="C368" s="4">
        <f t="shared" si="16"/>
        <v>1</v>
      </c>
      <c r="D368" s="4">
        <f t="shared" si="17"/>
        <v>2023</v>
      </c>
      <c r="E368" s="3">
        <v>44931</v>
      </c>
      <c r="F368" s="4" t="s">
        <v>393</v>
      </c>
      <c r="G368" s="4" t="s">
        <v>19</v>
      </c>
      <c r="H368" s="4" t="str" cm="1">
        <f t="array" ref="H368">_xlfn.IFS(I368&lt;30, "Young Adult", I368&gt;=50, "Senior", I368&gt;=30, "Adult")</f>
        <v>Senior</v>
      </c>
      <c r="I368" s="4">
        <v>57</v>
      </c>
      <c r="J368" s="4" t="s">
        <v>24</v>
      </c>
      <c r="K368" s="4">
        <v>1</v>
      </c>
      <c r="L368" s="5">
        <v>50</v>
      </c>
      <c r="M368" s="5">
        <f>K368 * L368</f>
        <v>50</v>
      </c>
      <c r="N368" s="5">
        <f>M368 * $Q$4</f>
        <v>0.75</v>
      </c>
      <c r="O368" s="5">
        <f>M368* $Q$5</f>
        <v>1</v>
      </c>
    </row>
    <row r="369" spans="1:15">
      <c r="A369" s="2">
        <v>368</v>
      </c>
      <c r="B369" s="4">
        <f t="shared" si="15"/>
        <v>23</v>
      </c>
      <c r="C369" s="4">
        <f t="shared" si="16"/>
        <v>8</v>
      </c>
      <c r="D369" s="4">
        <f t="shared" si="17"/>
        <v>2023</v>
      </c>
      <c r="E369" s="3">
        <v>45161</v>
      </c>
      <c r="F369" s="4" t="s">
        <v>394</v>
      </c>
      <c r="G369" s="4" t="s">
        <v>19</v>
      </c>
      <c r="H369" s="4" t="str" cm="1">
        <f t="array" ref="H369">_xlfn.IFS(I369&lt;30, "Young Adult", I369&gt;=50, "Senior", I369&gt;=30, "Adult")</f>
        <v>Senior</v>
      </c>
      <c r="I369" s="4">
        <v>56</v>
      </c>
      <c r="J369" s="4" t="s">
        <v>20</v>
      </c>
      <c r="K369" s="4">
        <v>4</v>
      </c>
      <c r="L369" s="5">
        <v>300</v>
      </c>
      <c r="M369" s="5">
        <f>K369 * L369</f>
        <v>1200</v>
      </c>
      <c r="N369" s="5">
        <f>M369 * $Q$4</f>
        <v>18</v>
      </c>
      <c r="O369" s="5">
        <f>M369* $Q$5</f>
        <v>24</v>
      </c>
    </row>
    <row r="370" spans="1:15">
      <c r="A370" s="2">
        <v>369</v>
      </c>
      <c r="B370" s="4">
        <f t="shared" si="15"/>
        <v>15</v>
      </c>
      <c r="C370" s="4">
        <f t="shared" si="16"/>
        <v>11</v>
      </c>
      <c r="D370" s="4">
        <f t="shared" si="17"/>
        <v>2023</v>
      </c>
      <c r="E370" s="3">
        <v>45245</v>
      </c>
      <c r="F370" s="4" t="s">
        <v>395</v>
      </c>
      <c r="G370" s="4" t="s">
        <v>16</v>
      </c>
      <c r="H370" s="4" t="str" cm="1">
        <f t="array" ref="H370">_xlfn.IFS(I370&lt;30, "Young Adult", I370&gt;=50, "Senior", I370&gt;=30, "Adult")</f>
        <v>Young Adult</v>
      </c>
      <c r="I370" s="4">
        <v>23</v>
      </c>
      <c r="J370" s="4" t="s">
        <v>24</v>
      </c>
      <c r="K370" s="4">
        <v>3</v>
      </c>
      <c r="L370" s="5">
        <v>500</v>
      </c>
      <c r="M370" s="5">
        <f>K370 * L370</f>
        <v>1500</v>
      </c>
      <c r="N370" s="5">
        <f>M370 * $Q$4</f>
        <v>22.5</v>
      </c>
      <c r="O370" s="5">
        <f>M370* $Q$5</f>
        <v>30</v>
      </c>
    </row>
    <row r="371" spans="1:15">
      <c r="A371" s="2">
        <v>370</v>
      </c>
      <c r="B371" s="4">
        <f t="shared" si="15"/>
        <v>16</v>
      </c>
      <c r="C371" s="4">
        <f t="shared" si="16"/>
        <v>10</v>
      </c>
      <c r="D371" s="4">
        <f t="shared" si="17"/>
        <v>2023</v>
      </c>
      <c r="E371" s="3">
        <v>45215</v>
      </c>
      <c r="F371" s="4" t="s">
        <v>396</v>
      </c>
      <c r="G371" s="4" t="s">
        <v>16</v>
      </c>
      <c r="H371" s="4" t="str" cm="1">
        <f t="array" ref="H371">_xlfn.IFS(I371&lt;30, "Young Adult", I371&gt;=50, "Senior", I371&gt;=30, "Adult")</f>
        <v>Young Adult</v>
      </c>
      <c r="I371" s="4">
        <v>23</v>
      </c>
      <c r="J371" s="4" t="s">
        <v>24</v>
      </c>
      <c r="K371" s="4">
        <v>2</v>
      </c>
      <c r="L371" s="5">
        <v>30</v>
      </c>
      <c r="M371" s="5">
        <f>K371 * L371</f>
        <v>60</v>
      </c>
      <c r="N371" s="5">
        <f>M371 * $Q$4</f>
        <v>0.89999999999999991</v>
      </c>
      <c r="O371" s="5">
        <f>M371* $Q$5</f>
        <v>1.2</v>
      </c>
    </row>
    <row r="372" spans="1:15">
      <c r="A372" s="2">
        <v>371</v>
      </c>
      <c r="B372" s="4">
        <f t="shared" si="15"/>
        <v>21</v>
      </c>
      <c r="C372" s="4">
        <f t="shared" si="16"/>
        <v>2</v>
      </c>
      <c r="D372" s="4">
        <f t="shared" si="17"/>
        <v>2023</v>
      </c>
      <c r="E372" s="3">
        <v>44978</v>
      </c>
      <c r="F372" s="4" t="s">
        <v>397</v>
      </c>
      <c r="G372" s="4" t="s">
        <v>19</v>
      </c>
      <c r="H372" s="4" t="str" cm="1">
        <f t="array" ref="H372">_xlfn.IFS(I372&lt;30, "Young Adult", I372&gt;=50, "Senior", I372&gt;=30, "Adult")</f>
        <v>Young Adult</v>
      </c>
      <c r="I372" s="4">
        <v>20</v>
      </c>
      <c r="J372" s="4" t="s">
        <v>17</v>
      </c>
      <c r="K372" s="4">
        <v>1</v>
      </c>
      <c r="L372" s="5">
        <v>25</v>
      </c>
      <c r="M372" s="5">
        <f>K372 * L372</f>
        <v>25</v>
      </c>
      <c r="N372" s="5">
        <f>M372 * $Q$4</f>
        <v>0.375</v>
      </c>
      <c r="O372" s="5">
        <f>M372* $Q$5</f>
        <v>0.5</v>
      </c>
    </row>
    <row r="373" spans="1:15">
      <c r="A373" s="2">
        <v>372</v>
      </c>
      <c r="B373" s="4">
        <f t="shared" si="15"/>
        <v>7</v>
      </c>
      <c r="C373" s="4">
        <f t="shared" si="16"/>
        <v>2</v>
      </c>
      <c r="D373" s="4">
        <f t="shared" si="17"/>
        <v>2023</v>
      </c>
      <c r="E373" s="3">
        <v>44964</v>
      </c>
      <c r="F373" s="4" t="s">
        <v>398</v>
      </c>
      <c r="G373" s="4" t="s">
        <v>19</v>
      </c>
      <c r="H373" s="4" t="str" cm="1">
        <f t="array" ref="H373">_xlfn.IFS(I373&lt;30, "Young Adult", I373&gt;=50, "Senior", I373&gt;=30, "Adult")</f>
        <v>Young Adult</v>
      </c>
      <c r="I373" s="4">
        <v>24</v>
      </c>
      <c r="J373" s="4" t="s">
        <v>17</v>
      </c>
      <c r="K373" s="4">
        <v>3</v>
      </c>
      <c r="L373" s="5">
        <v>500</v>
      </c>
      <c r="M373" s="5">
        <f>K373 * L373</f>
        <v>1500</v>
      </c>
      <c r="N373" s="5">
        <f>M373 * $Q$4</f>
        <v>22.5</v>
      </c>
      <c r="O373" s="5">
        <f>M373* $Q$5</f>
        <v>30</v>
      </c>
    </row>
    <row r="374" spans="1:15">
      <c r="A374" s="2">
        <v>373</v>
      </c>
      <c r="B374" s="4">
        <f t="shared" si="15"/>
        <v>3</v>
      </c>
      <c r="C374" s="4">
        <f t="shared" si="16"/>
        <v>10</v>
      </c>
      <c r="D374" s="4">
        <f t="shared" si="17"/>
        <v>2023</v>
      </c>
      <c r="E374" s="3">
        <v>45202</v>
      </c>
      <c r="F374" s="4" t="s">
        <v>399</v>
      </c>
      <c r="G374" s="4" t="s">
        <v>19</v>
      </c>
      <c r="H374" s="4" t="str" cm="1">
        <f t="array" ref="H374">_xlfn.IFS(I374&lt;30, "Young Adult", I374&gt;=50, "Senior", I374&gt;=30, "Adult")</f>
        <v>Young Adult</v>
      </c>
      <c r="I374" s="4">
        <v>25</v>
      </c>
      <c r="J374" s="4" t="s">
        <v>17</v>
      </c>
      <c r="K374" s="4">
        <v>2</v>
      </c>
      <c r="L374" s="5">
        <v>300</v>
      </c>
      <c r="M374" s="5">
        <f>K374 * L374</f>
        <v>600</v>
      </c>
      <c r="N374" s="5">
        <f>M374 * $Q$4</f>
        <v>9</v>
      </c>
      <c r="O374" s="5">
        <f>M374* $Q$5</f>
        <v>12</v>
      </c>
    </row>
    <row r="375" spans="1:15">
      <c r="A375" s="2">
        <v>374</v>
      </c>
      <c r="B375" s="4">
        <f t="shared" si="15"/>
        <v>20</v>
      </c>
      <c r="C375" s="4">
        <f t="shared" si="16"/>
        <v>4</v>
      </c>
      <c r="D375" s="4">
        <f t="shared" si="17"/>
        <v>2023</v>
      </c>
      <c r="E375" s="3">
        <v>45036</v>
      </c>
      <c r="F375" s="4" t="s">
        <v>400</v>
      </c>
      <c r="G375" s="4" t="s">
        <v>19</v>
      </c>
      <c r="H375" s="4" t="str" cm="1">
        <f t="array" ref="H375">_xlfn.IFS(I375&lt;30, "Young Adult", I375&gt;=50, "Senior", I375&gt;=30, "Adult")</f>
        <v>Senior</v>
      </c>
      <c r="I375" s="4">
        <v>59</v>
      </c>
      <c r="J375" s="4" t="s">
        <v>17</v>
      </c>
      <c r="K375" s="4">
        <v>3</v>
      </c>
      <c r="L375" s="5">
        <v>25</v>
      </c>
      <c r="M375" s="5">
        <f>K375 * L375</f>
        <v>75</v>
      </c>
      <c r="N375" s="5">
        <f>M375 * $Q$4</f>
        <v>1.125</v>
      </c>
      <c r="O375" s="5">
        <f>M375* $Q$5</f>
        <v>1.5</v>
      </c>
    </row>
    <row r="376" spans="1:15">
      <c r="A376" s="2">
        <v>375</v>
      </c>
      <c r="B376" s="4">
        <f t="shared" si="15"/>
        <v>17</v>
      </c>
      <c r="C376" s="4">
        <f t="shared" si="16"/>
        <v>9</v>
      </c>
      <c r="D376" s="4">
        <f t="shared" si="17"/>
        <v>2023</v>
      </c>
      <c r="E376" s="3">
        <v>45186</v>
      </c>
      <c r="F376" s="4" t="s">
        <v>401</v>
      </c>
      <c r="G376" s="4" t="s">
        <v>16</v>
      </c>
      <c r="H376" s="4" t="str" cm="1">
        <f t="array" ref="H376">_xlfn.IFS(I376&lt;30, "Young Adult", I376&gt;=50, "Senior", I376&gt;=30, "Adult")</f>
        <v>Adult</v>
      </c>
      <c r="I376" s="4">
        <v>32</v>
      </c>
      <c r="J376" s="4" t="s">
        <v>20</v>
      </c>
      <c r="K376" s="4">
        <v>1</v>
      </c>
      <c r="L376" s="5">
        <v>50</v>
      </c>
      <c r="M376" s="5">
        <f>K376 * L376</f>
        <v>50</v>
      </c>
      <c r="N376" s="5">
        <f>M376 * $Q$4</f>
        <v>0.75</v>
      </c>
      <c r="O376" s="5">
        <f>M376* $Q$5</f>
        <v>1</v>
      </c>
    </row>
    <row r="377" spans="1:15">
      <c r="A377" s="2">
        <v>376</v>
      </c>
      <c r="B377" s="4">
        <f t="shared" si="15"/>
        <v>16</v>
      </c>
      <c r="C377" s="4">
        <f t="shared" si="16"/>
        <v>5</v>
      </c>
      <c r="D377" s="4">
        <f t="shared" si="17"/>
        <v>2023</v>
      </c>
      <c r="E377" s="3">
        <v>45062</v>
      </c>
      <c r="F377" s="4" t="s">
        <v>402</v>
      </c>
      <c r="G377" s="4" t="s">
        <v>19</v>
      </c>
      <c r="H377" s="4" t="str" cm="1">
        <f t="array" ref="H377">_xlfn.IFS(I377&lt;30, "Young Adult", I377&gt;=50, "Senior", I377&gt;=30, "Adult")</f>
        <v>Senior</v>
      </c>
      <c r="I377" s="4">
        <v>64</v>
      </c>
      <c r="J377" s="4" t="s">
        <v>17</v>
      </c>
      <c r="K377" s="4">
        <v>1</v>
      </c>
      <c r="L377" s="5">
        <v>30</v>
      </c>
      <c r="M377" s="5">
        <f>K377 * L377</f>
        <v>30</v>
      </c>
      <c r="N377" s="5">
        <f>M377 * $Q$4</f>
        <v>0.44999999999999996</v>
      </c>
      <c r="O377" s="5">
        <f>M377* $Q$5</f>
        <v>0.6</v>
      </c>
    </row>
    <row r="378" spans="1:15">
      <c r="A378" s="2">
        <v>377</v>
      </c>
      <c r="B378" s="4">
        <f t="shared" si="15"/>
        <v>9</v>
      </c>
      <c r="C378" s="4">
        <f t="shared" si="16"/>
        <v>3</v>
      </c>
      <c r="D378" s="4">
        <f t="shared" si="17"/>
        <v>2023</v>
      </c>
      <c r="E378" s="3">
        <v>44994</v>
      </c>
      <c r="F378" s="4" t="s">
        <v>403</v>
      </c>
      <c r="G378" s="4" t="s">
        <v>19</v>
      </c>
      <c r="H378" s="4" t="str" cm="1">
        <f t="array" ref="H378">_xlfn.IFS(I378&lt;30, "Young Adult", I378&gt;=50, "Senior", I378&gt;=30, "Adult")</f>
        <v>Adult</v>
      </c>
      <c r="I378" s="4">
        <v>46</v>
      </c>
      <c r="J378" s="4" t="s">
        <v>20</v>
      </c>
      <c r="K378" s="4">
        <v>4</v>
      </c>
      <c r="L378" s="5">
        <v>50</v>
      </c>
      <c r="M378" s="5">
        <f>K378 * L378</f>
        <v>200</v>
      </c>
      <c r="N378" s="5">
        <f>M378 * $Q$4</f>
        <v>3</v>
      </c>
      <c r="O378" s="5">
        <f>M378* $Q$5</f>
        <v>4</v>
      </c>
    </row>
    <row r="379" spans="1:15">
      <c r="A379" s="2">
        <v>378</v>
      </c>
      <c r="B379" s="4">
        <f t="shared" si="15"/>
        <v>28</v>
      </c>
      <c r="C379" s="4">
        <f t="shared" si="16"/>
        <v>6</v>
      </c>
      <c r="D379" s="4">
        <f t="shared" si="17"/>
        <v>2023</v>
      </c>
      <c r="E379" s="3">
        <v>45105</v>
      </c>
      <c r="F379" s="4" t="s">
        <v>404</v>
      </c>
      <c r="G379" s="4" t="s">
        <v>16</v>
      </c>
      <c r="H379" s="4" t="str" cm="1">
        <f t="array" ref="H379">_xlfn.IFS(I379&lt;30, "Young Adult", I379&gt;=50, "Senior", I379&gt;=30, "Adult")</f>
        <v>Senior</v>
      </c>
      <c r="I379" s="4">
        <v>50</v>
      </c>
      <c r="J379" s="4" t="s">
        <v>17</v>
      </c>
      <c r="K379" s="4">
        <v>1</v>
      </c>
      <c r="L379" s="5">
        <v>300</v>
      </c>
      <c r="M379" s="5">
        <f>K379 * L379</f>
        <v>300</v>
      </c>
      <c r="N379" s="5">
        <f>M379 * $Q$4</f>
        <v>4.5</v>
      </c>
      <c r="O379" s="5">
        <f>M379* $Q$5</f>
        <v>6</v>
      </c>
    </row>
    <row r="380" spans="1:15">
      <c r="A380" s="2">
        <v>379</v>
      </c>
      <c r="B380" s="4">
        <f t="shared" si="15"/>
        <v>5</v>
      </c>
      <c r="C380" s="4">
        <f t="shared" si="16"/>
        <v>2</v>
      </c>
      <c r="D380" s="4">
        <f t="shared" si="17"/>
        <v>2023</v>
      </c>
      <c r="E380" s="3">
        <v>44962</v>
      </c>
      <c r="F380" s="4" t="s">
        <v>405</v>
      </c>
      <c r="G380" s="4" t="s">
        <v>19</v>
      </c>
      <c r="H380" s="4" t="str" cm="1">
        <f t="array" ref="H380">_xlfn.IFS(I380&lt;30, "Young Adult", I380&gt;=50, "Senior", I380&gt;=30, "Adult")</f>
        <v>Adult</v>
      </c>
      <c r="I380" s="4">
        <v>47</v>
      </c>
      <c r="J380" s="4" t="s">
        <v>20</v>
      </c>
      <c r="K380" s="4">
        <v>1</v>
      </c>
      <c r="L380" s="5">
        <v>25</v>
      </c>
      <c r="M380" s="5">
        <f>K380 * L380</f>
        <v>25</v>
      </c>
      <c r="N380" s="5">
        <f>M380 * $Q$4</f>
        <v>0.375</v>
      </c>
      <c r="O380" s="5">
        <f>M380* $Q$5</f>
        <v>0.5</v>
      </c>
    </row>
    <row r="381" spans="1:15">
      <c r="A381" s="2">
        <v>380</v>
      </c>
      <c r="B381" s="4">
        <f t="shared" si="15"/>
        <v>6</v>
      </c>
      <c r="C381" s="4">
        <f t="shared" si="16"/>
        <v>5</v>
      </c>
      <c r="D381" s="4">
        <f t="shared" si="17"/>
        <v>2023</v>
      </c>
      <c r="E381" s="3">
        <v>45052</v>
      </c>
      <c r="F381" s="4" t="s">
        <v>406</v>
      </c>
      <c r="G381" s="4" t="s">
        <v>16</v>
      </c>
      <c r="H381" s="4" t="str" cm="1">
        <f t="array" ref="H381">_xlfn.IFS(I381&lt;30, "Young Adult", I381&gt;=50, "Senior", I381&gt;=30, "Adult")</f>
        <v>Senior</v>
      </c>
      <c r="I381" s="4">
        <v>56</v>
      </c>
      <c r="J381" s="4" t="s">
        <v>24</v>
      </c>
      <c r="K381" s="4">
        <v>2</v>
      </c>
      <c r="L381" s="5">
        <v>300</v>
      </c>
      <c r="M381" s="5">
        <f>K381 * L381</f>
        <v>600</v>
      </c>
      <c r="N381" s="5">
        <f>M381 * $Q$4</f>
        <v>9</v>
      </c>
      <c r="O381" s="5">
        <f>M381* $Q$5</f>
        <v>12</v>
      </c>
    </row>
    <row r="382" spans="1:15">
      <c r="A382" s="2">
        <v>381</v>
      </c>
      <c r="B382" s="4">
        <f t="shared" si="15"/>
        <v>9</v>
      </c>
      <c r="C382" s="4">
        <f t="shared" si="16"/>
        <v>7</v>
      </c>
      <c r="D382" s="4">
        <f t="shared" si="17"/>
        <v>2023</v>
      </c>
      <c r="E382" s="3">
        <v>45116</v>
      </c>
      <c r="F382" s="4" t="s">
        <v>407</v>
      </c>
      <c r="G382" s="4" t="s">
        <v>19</v>
      </c>
      <c r="H382" s="4" t="str" cm="1">
        <f t="array" ref="H382">_xlfn.IFS(I382&lt;30, "Young Adult", I382&gt;=50, "Senior", I382&gt;=30, "Adult")</f>
        <v>Adult</v>
      </c>
      <c r="I382" s="4">
        <v>44</v>
      </c>
      <c r="J382" s="4" t="s">
        <v>20</v>
      </c>
      <c r="K382" s="4">
        <v>4</v>
      </c>
      <c r="L382" s="5">
        <v>25</v>
      </c>
      <c r="M382" s="5">
        <f>K382 * L382</f>
        <v>100</v>
      </c>
      <c r="N382" s="5">
        <f>M382 * $Q$4</f>
        <v>1.5</v>
      </c>
      <c r="O382" s="5">
        <f>M382* $Q$5</f>
        <v>2</v>
      </c>
    </row>
    <row r="383" spans="1:15">
      <c r="A383" s="2">
        <v>382</v>
      </c>
      <c r="B383" s="4">
        <f t="shared" si="15"/>
        <v>26</v>
      </c>
      <c r="C383" s="4">
        <f t="shared" si="16"/>
        <v>5</v>
      </c>
      <c r="D383" s="4">
        <f t="shared" si="17"/>
        <v>2023</v>
      </c>
      <c r="E383" s="3">
        <v>45072</v>
      </c>
      <c r="F383" s="4" t="s">
        <v>408</v>
      </c>
      <c r="G383" s="4" t="s">
        <v>19</v>
      </c>
      <c r="H383" s="4" t="str" cm="1">
        <f t="array" ref="H383">_xlfn.IFS(I383&lt;30, "Young Adult", I383&gt;=50, "Senior", I383&gt;=30, "Adult")</f>
        <v>Senior</v>
      </c>
      <c r="I383" s="4">
        <v>53</v>
      </c>
      <c r="J383" s="4" t="s">
        <v>20</v>
      </c>
      <c r="K383" s="4">
        <v>2</v>
      </c>
      <c r="L383" s="5">
        <v>500</v>
      </c>
      <c r="M383" s="5">
        <f>K383 * L383</f>
        <v>1000</v>
      </c>
      <c r="N383" s="5">
        <f>M383 * $Q$4</f>
        <v>15</v>
      </c>
      <c r="O383" s="5">
        <f>M383* $Q$5</f>
        <v>20</v>
      </c>
    </row>
    <row r="384" spans="1:15">
      <c r="A384" s="2">
        <v>383</v>
      </c>
      <c r="B384" s="4">
        <f t="shared" si="15"/>
        <v>22</v>
      </c>
      <c r="C384" s="4">
        <f t="shared" si="16"/>
        <v>3</v>
      </c>
      <c r="D384" s="4">
        <f t="shared" si="17"/>
        <v>2023</v>
      </c>
      <c r="E384" s="3">
        <v>45007</v>
      </c>
      <c r="F384" s="4" t="s">
        <v>409</v>
      </c>
      <c r="G384" s="4" t="s">
        <v>19</v>
      </c>
      <c r="H384" s="4" t="str" cm="1">
        <f t="array" ref="H384">_xlfn.IFS(I384&lt;30, "Young Adult", I384&gt;=50, "Senior", I384&gt;=30, "Adult")</f>
        <v>Adult</v>
      </c>
      <c r="I384" s="4">
        <v>46</v>
      </c>
      <c r="J384" s="4" t="s">
        <v>17</v>
      </c>
      <c r="K384" s="4">
        <v>3</v>
      </c>
      <c r="L384" s="5">
        <v>30</v>
      </c>
      <c r="M384" s="5">
        <f>K384 * L384</f>
        <v>90</v>
      </c>
      <c r="N384" s="5">
        <f>M384 * $Q$4</f>
        <v>1.3499999999999999</v>
      </c>
      <c r="O384" s="5">
        <f>M384* $Q$5</f>
        <v>1.8</v>
      </c>
    </row>
    <row r="385" spans="1:15">
      <c r="A385" s="2">
        <v>384</v>
      </c>
      <c r="B385" s="4">
        <f t="shared" si="15"/>
        <v>13</v>
      </c>
      <c r="C385" s="4">
        <f t="shared" si="16"/>
        <v>8</v>
      </c>
      <c r="D385" s="4">
        <f t="shared" si="17"/>
        <v>2023</v>
      </c>
      <c r="E385" s="3">
        <v>45151</v>
      </c>
      <c r="F385" s="4" t="s">
        <v>410</v>
      </c>
      <c r="G385" s="4" t="s">
        <v>16</v>
      </c>
      <c r="H385" s="4" t="str" cm="1">
        <f t="array" ref="H385">_xlfn.IFS(I385&lt;30, "Young Adult", I385&gt;=50, "Senior", I385&gt;=30, "Adult")</f>
        <v>Senior</v>
      </c>
      <c r="I385" s="4">
        <v>55</v>
      </c>
      <c r="J385" s="4" t="s">
        <v>20</v>
      </c>
      <c r="K385" s="4">
        <v>1</v>
      </c>
      <c r="L385" s="5">
        <v>500</v>
      </c>
      <c r="M385" s="5">
        <f>K385 * L385</f>
        <v>500</v>
      </c>
      <c r="N385" s="5">
        <f>M385 * $Q$4</f>
        <v>7.5</v>
      </c>
      <c r="O385" s="5">
        <f>M385* $Q$5</f>
        <v>10</v>
      </c>
    </row>
    <row r="386" spans="1:15">
      <c r="A386" s="2">
        <v>385</v>
      </c>
      <c r="B386" s="4">
        <f t="shared" si="15"/>
        <v>6</v>
      </c>
      <c r="C386" s="4">
        <f t="shared" si="16"/>
        <v>10</v>
      </c>
      <c r="D386" s="4">
        <f t="shared" si="17"/>
        <v>2023</v>
      </c>
      <c r="E386" s="3">
        <v>45205</v>
      </c>
      <c r="F386" s="4" t="s">
        <v>411</v>
      </c>
      <c r="G386" s="4" t="s">
        <v>16</v>
      </c>
      <c r="H386" s="4" t="str" cm="1">
        <f t="array" ref="H386">_xlfn.IFS(I386&lt;30, "Young Adult", I386&gt;=50, "Senior", I386&gt;=30, "Adult")</f>
        <v>Senior</v>
      </c>
      <c r="I386" s="4">
        <v>50</v>
      </c>
      <c r="J386" s="4" t="s">
        <v>24</v>
      </c>
      <c r="K386" s="4">
        <v>3</v>
      </c>
      <c r="L386" s="5">
        <v>500</v>
      </c>
      <c r="M386" s="5">
        <f>K386 * L386</f>
        <v>1500</v>
      </c>
      <c r="N386" s="5">
        <f>M386 * $Q$4</f>
        <v>22.5</v>
      </c>
      <c r="O386" s="5">
        <f>M386* $Q$5</f>
        <v>30</v>
      </c>
    </row>
    <row r="387" spans="1:15">
      <c r="A387" s="2">
        <v>386</v>
      </c>
      <c r="B387" s="4">
        <f t="shared" ref="B387:B450" si="18">DAY(E387)</f>
        <v>27</v>
      </c>
      <c r="C387" s="4">
        <f t="shared" ref="C387:C450" si="19">MONTH(E387)</f>
        <v>12</v>
      </c>
      <c r="D387" s="4">
        <f t="shared" ref="D387:D450" si="20">YEAR(E387)</f>
        <v>2023</v>
      </c>
      <c r="E387" s="3">
        <v>45287</v>
      </c>
      <c r="F387" s="4" t="s">
        <v>412</v>
      </c>
      <c r="G387" s="4" t="s">
        <v>19</v>
      </c>
      <c r="H387" s="4" t="str" cm="1">
        <f t="array" ref="H387">_xlfn.IFS(I387&lt;30, "Young Adult", I387&gt;=50, "Senior", I387&gt;=30, "Adult")</f>
        <v>Senior</v>
      </c>
      <c r="I387" s="4">
        <v>54</v>
      </c>
      <c r="J387" s="4" t="s">
        <v>24</v>
      </c>
      <c r="K387" s="4">
        <v>2</v>
      </c>
      <c r="L387" s="5">
        <v>300</v>
      </c>
      <c r="M387" s="5">
        <f>K387 * L387</f>
        <v>600</v>
      </c>
      <c r="N387" s="5">
        <f>M387 * $Q$4</f>
        <v>9</v>
      </c>
      <c r="O387" s="5">
        <f>M387* $Q$5</f>
        <v>12</v>
      </c>
    </row>
    <row r="388" spans="1:15">
      <c r="A388" s="2">
        <v>387</v>
      </c>
      <c r="B388" s="4">
        <f t="shared" si="18"/>
        <v>4</v>
      </c>
      <c r="C388" s="4">
        <f t="shared" si="19"/>
        <v>6</v>
      </c>
      <c r="D388" s="4">
        <f t="shared" si="20"/>
        <v>2023</v>
      </c>
      <c r="E388" s="3">
        <v>45081</v>
      </c>
      <c r="F388" s="4" t="s">
        <v>413</v>
      </c>
      <c r="G388" s="4" t="s">
        <v>16</v>
      </c>
      <c r="H388" s="4" t="str" cm="1">
        <f t="array" ref="H388">_xlfn.IFS(I388&lt;30, "Young Adult", I388&gt;=50, "Senior", I388&gt;=30, "Adult")</f>
        <v>Adult</v>
      </c>
      <c r="I388" s="4">
        <v>44</v>
      </c>
      <c r="J388" s="4" t="s">
        <v>17</v>
      </c>
      <c r="K388" s="4">
        <v>1</v>
      </c>
      <c r="L388" s="5">
        <v>30</v>
      </c>
      <c r="M388" s="5">
        <f>K388 * L388</f>
        <v>30</v>
      </c>
      <c r="N388" s="5">
        <f>M388 * $Q$4</f>
        <v>0.44999999999999996</v>
      </c>
      <c r="O388" s="5">
        <f>M388* $Q$5</f>
        <v>0.6</v>
      </c>
    </row>
    <row r="389" spans="1:15">
      <c r="A389" s="2">
        <v>388</v>
      </c>
      <c r="B389" s="4">
        <f t="shared" si="18"/>
        <v>10</v>
      </c>
      <c r="C389" s="4">
        <f t="shared" si="19"/>
        <v>11</v>
      </c>
      <c r="D389" s="4">
        <f t="shared" si="20"/>
        <v>2023</v>
      </c>
      <c r="E389" s="3">
        <v>45240</v>
      </c>
      <c r="F389" s="4" t="s">
        <v>414</v>
      </c>
      <c r="G389" s="4" t="s">
        <v>16</v>
      </c>
      <c r="H389" s="4" t="str" cm="1">
        <f t="array" ref="H389">_xlfn.IFS(I389&lt;30, "Young Adult", I389&gt;=50, "Senior", I389&gt;=30, "Adult")</f>
        <v>Senior</v>
      </c>
      <c r="I389" s="4">
        <v>50</v>
      </c>
      <c r="J389" s="4" t="s">
        <v>24</v>
      </c>
      <c r="K389" s="4">
        <v>1</v>
      </c>
      <c r="L389" s="5">
        <v>25</v>
      </c>
      <c r="M389" s="5">
        <f>K389 * L389</f>
        <v>25</v>
      </c>
      <c r="N389" s="5">
        <f>M389 * $Q$4</f>
        <v>0.375</v>
      </c>
      <c r="O389" s="5">
        <f>M389* $Q$5</f>
        <v>0.5</v>
      </c>
    </row>
    <row r="390" spans="1:15">
      <c r="A390" s="2">
        <v>389</v>
      </c>
      <c r="B390" s="4">
        <f t="shared" si="18"/>
        <v>1</v>
      </c>
      <c r="C390" s="4">
        <f t="shared" si="19"/>
        <v>12</v>
      </c>
      <c r="D390" s="4">
        <f t="shared" si="20"/>
        <v>2023</v>
      </c>
      <c r="E390" s="3">
        <v>45261</v>
      </c>
      <c r="F390" s="4" t="s">
        <v>415</v>
      </c>
      <c r="G390" s="4" t="s">
        <v>16</v>
      </c>
      <c r="H390" s="4" t="str" cm="1">
        <f t="array" ref="H390">_xlfn.IFS(I390&lt;30, "Young Adult", I390&gt;=50, "Senior", I390&gt;=30, "Adult")</f>
        <v>Young Adult</v>
      </c>
      <c r="I390" s="4">
        <v>21</v>
      </c>
      <c r="J390" s="4" t="s">
        <v>20</v>
      </c>
      <c r="K390" s="4">
        <v>2</v>
      </c>
      <c r="L390" s="5">
        <v>25</v>
      </c>
      <c r="M390" s="5">
        <f>K390 * L390</f>
        <v>50</v>
      </c>
      <c r="N390" s="5">
        <f>M390 * $Q$4</f>
        <v>0.75</v>
      </c>
      <c r="O390" s="5">
        <f>M390* $Q$5</f>
        <v>1</v>
      </c>
    </row>
    <row r="391" spans="1:15">
      <c r="A391" s="2">
        <v>390</v>
      </c>
      <c r="B391" s="4">
        <f t="shared" si="18"/>
        <v>28</v>
      </c>
      <c r="C391" s="4">
        <f t="shared" si="19"/>
        <v>9</v>
      </c>
      <c r="D391" s="4">
        <f t="shared" si="20"/>
        <v>2023</v>
      </c>
      <c r="E391" s="3">
        <v>45197</v>
      </c>
      <c r="F391" s="4" t="s">
        <v>416</v>
      </c>
      <c r="G391" s="4" t="s">
        <v>16</v>
      </c>
      <c r="H391" s="4" t="str" cm="1">
        <f t="array" ref="H391">_xlfn.IFS(I391&lt;30, "Young Adult", I391&gt;=50, "Senior", I391&gt;=30, "Adult")</f>
        <v>Adult</v>
      </c>
      <c r="I391" s="4">
        <v>39</v>
      </c>
      <c r="J391" s="4" t="s">
        <v>24</v>
      </c>
      <c r="K391" s="4">
        <v>2</v>
      </c>
      <c r="L391" s="5">
        <v>50</v>
      </c>
      <c r="M391" s="5">
        <f>K391 * L391</f>
        <v>100</v>
      </c>
      <c r="N391" s="5">
        <f>M391 * $Q$4</f>
        <v>1.5</v>
      </c>
      <c r="O391" s="5">
        <f>M391* $Q$5</f>
        <v>2</v>
      </c>
    </row>
    <row r="392" spans="1:15">
      <c r="A392" s="2">
        <v>391</v>
      </c>
      <c r="B392" s="4">
        <f t="shared" si="18"/>
        <v>5</v>
      </c>
      <c r="C392" s="4">
        <f t="shared" si="19"/>
        <v>1</v>
      </c>
      <c r="D392" s="4">
        <f t="shared" si="20"/>
        <v>2023</v>
      </c>
      <c r="E392" s="3">
        <v>44931</v>
      </c>
      <c r="F392" s="4" t="s">
        <v>417</v>
      </c>
      <c r="G392" s="4" t="s">
        <v>16</v>
      </c>
      <c r="H392" s="4" t="str" cm="1">
        <f t="array" ref="H392">_xlfn.IFS(I392&lt;30, "Young Adult", I392&gt;=50, "Senior", I392&gt;=30, "Adult")</f>
        <v>Young Adult</v>
      </c>
      <c r="I392" s="4">
        <v>19</v>
      </c>
      <c r="J392" s="4" t="s">
        <v>17</v>
      </c>
      <c r="K392" s="4">
        <v>2</v>
      </c>
      <c r="L392" s="5">
        <v>25</v>
      </c>
      <c r="M392" s="5">
        <f>K392 * L392</f>
        <v>50</v>
      </c>
      <c r="N392" s="5">
        <f>M392 * $Q$4</f>
        <v>0.75</v>
      </c>
      <c r="O392" s="5">
        <f>M392* $Q$5</f>
        <v>1</v>
      </c>
    </row>
    <row r="393" spans="1:15">
      <c r="A393" s="2">
        <v>392</v>
      </c>
      <c r="B393" s="4">
        <f t="shared" si="18"/>
        <v>8</v>
      </c>
      <c r="C393" s="4">
        <f t="shared" si="19"/>
        <v>12</v>
      </c>
      <c r="D393" s="4">
        <f t="shared" si="20"/>
        <v>2023</v>
      </c>
      <c r="E393" s="3">
        <v>45268</v>
      </c>
      <c r="F393" s="4" t="s">
        <v>418</v>
      </c>
      <c r="G393" s="4" t="s">
        <v>16</v>
      </c>
      <c r="H393" s="4" t="str" cm="1">
        <f t="array" ref="H393">_xlfn.IFS(I393&lt;30, "Young Adult", I393&gt;=50, "Senior", I393&gt;=30, "Adult")</f>
        <v>Young Adult</v>
      </c>
      <c r="I393" s="4">
        <v>27</v>
      </c>
      <c r="J393" s="4" t="s">
        <v>20</v>
      </c>
      <c r="K393" s="4">
        <v>2</v>
      </c>
      <c r="L393" s="5">
        <v>300</v>
      </c>
      <c r="M393" s="5">
        <f>K393 * L393</f>
        <v>600</v>
      </c>
      <c r="N393" s="5">
        <f>M393 * $Q$4</f>
        <v>9</v>
      </c>
      <c r="O393" s="5">
        <f>M393* $Q$5</f>
        <v>12</v>
      </c>
    </row>
    <row r="394" spans="1:15">
      <c r="A394" s="2">
        <v>393</v>
      </c>
      <c r="B394" s="4">
        <f t="shared" si="18"/>
        <v>11</v>
      </c>
      <c r="C394" s="4">
        <f t="shared" si="19"/>
        <v>10</v>
      </c>
      <c r="D394" s="4">
        <f t="shared" si="20"/>
        <v>2023</v>
      </c>
      <c r="E394" s="3">
        <v>45210</v>
      </c>
      <c r="F394" s="4" t="s">
        <v>419</v>
      </c>
      <c r="G394" s="4" t="s">
        <v>19</v>
      </c>
      <c r="H394" s="4" t="str" cm="1">
        <f t="array" ref="H394">_xlfn.IFS(I394&lt;30, "Young Adult", I394&gt;=50, "Senior", I394&gt;=30, "Adult")</f>
        <v>Young Adult</v>
      </c>
      <c r="I394" s="4">
        <v>22</v>
      </c>
      <c r="J394" s="4" t="s">
        <v>17</v>
      </c>
      <c r="K394" s="4">
        <v>2</v>
      </c>
      <c r="L394" s="5">
        <v>500</v>
      </c>
      <c r="M394" s="5">
        <f>K394 * L394</f>
        <v>1000</v>
      </c>
      <c r="N394" s="5">
        <f>M394 * $Q$4</f>
        <v>15</v>
      </c>
      <c r="O394" s="5">
        <f>M394* $Q$5</f>
        <v>20</v>
      </c>
    </row>
    <row r="395" spans="1:15">
      <c r="A395" s="2">
        <v>394</v>
      </c>
      <c r="B395" s="4">
        <f t="shared" si="18"/>
        <v>3</v>
      </c>
      <c r="C395" s="4">
        <f t="shared" si="19"/>
        <v>6</v>
      </c>
      <c r="D395" s="4">
        <f t="shared" si="20"/>
        <v>2023</v>
      </c>
      <c r="E395" s="3">
        <v>45080</v>
      </c>
      <c r="F395" s="4" t="s">
        <v>420</v>
      </c>
      <c r="G395" s="4" t="s">
        <v>19</v>
      </c>
      <c r="H395" s="4" t="str" cm="1">
        <f t="array" ref="H395">_xlfn.IFS(I395&lt;30, "Young Adult", I395&gt;=50, "Senior", I395&gt;=30, "Adult")</f>
        <v>Young Adult</v>
      </c>
      <c r="I395" s="4">
        <v>27</v>
      </c>
      <c r="J395" s="4" t="s">
        <v>20</v>
      </c>
      <c r="K395" s="4">
        <v>1</v>
      </c>
      <c r="L395" s="5">
        <v>500</v>
      </c>
      <c r="M395" s="5">
        <f>K395 * L395</f>
        <v>500</v>
      </c>
      <c r="N395" s="5">
        <f>M395 * $Q$4</f>
        <v>7.5</v>
      </c>
      <c r="O395" s="5">
        <f>M395* $Q$5</f>
        <v>10</v>
      </c>
    </row>
    <row r="396" spans="1:15">
      <c r="A396" s="2">
        <v>395</v>
      </c>
      <c r="B396" s="4">
        <f t="shared" si="18"/>
        <v>6</v>
      </c>
      <c r="C396" s="4">
        <f t="shared" si="19"/>
        <v>12</v>
      </c>
      <c r="D396" s="4">
        <f t="shared" si="20"/>
        <v>2023</v>
      </c>
      <c r="E396" s="3">
        <v>45266</v>
      </c>
      <c r="F396" s="4" t="s">
        <v>421</v>
      </c>
      <c r="G396" s="4" t="s">
        <v>16</v>
      </c>
      <c r="H396" s="4" t="str" cm="1">
        <f t="array" ref="H396">_xlfn.IFS(I396&lt;30, "Young Adult", I396&gt;=50, "Senior", I396&gt;=30, "Adult")</f>
        <v>Senior</v>
      </c>
      <c r="I396" s="4">
        <v>50</v>
      </c>
      <c r="J396" s="4" t="s">
        <v>24</v>
      </c>
      <c r="K396" s="4">
        <v>2</v>
      </c>
      <c r="L396" s="5">
        <v>500</v>
      </c>
      <c r="M396" s="5">
        <f>K396 * L396</f>
        <v>1000</v>
      </c>
      <c r="N396" s="5">
        <f>M396 * $Q$4</f>
        <v>15</v>
      </c>
      <c r="O396" s="5">
        <f>M396* $Q$5</f>
        <v>20</v>
      </c>
    </row>
    <row r="397" spans="1:15">
      <c r="A397" s="2">
        <v>396</v>
      </c>
      <c r="B397" s="4">
        <f t="shared" si="18"/>
        <v>23</v>
      </c>
      <c r="C397" s="4">
        <f t="shared" si="19"/>
        <v>2</v>
      </c>
      <c r="D397" s="4">
        <f t="shared" si="20"/>
        <v>2023</v>
      </c>
      <c r="E397" s="3">
        <v>44980</v>
      </c>
      <c r="F397" s="4" t="s">
        <v>422</v>
      </c>
      <c r="G397" s="4" t="s">
        <v>19</v>
      </c>
      <c r="H397" s="4" t="str" cm="1">
        <f t="array" ref="H397">_xlfn.IFS(I397&lt;30, "Young Adult", I397&gt;=50, "Senior", I397&gt;=30, "Adult")</f>
        <v>Senior</v>
      </c>
      <c r="I397" s="4">
        <v>55</v>
      </c>
      <c r="J397" s="4" t="s">
        <v>17</v>
      </c>
      <c r="K397" s="4">
        <v>1</v>
      </c>
      <c r="L397" s="5">
        <v>30</v>
      </c>
      <c r="M397" s="5">
        <f>K397 * L397</f>
        <v>30</v>
      </c>
      <c r="N397" s="5">
        <f>M397 * $Q$4</f>
        <v>0.44999999999999996</v>
      </c>
      <c r="O397" s="5">
        <f>M397* $Q$5</f>
        <v>0.6</v>
      </c>
    </row>
    <row r="398" spans="1:15">
      <c r="A398" s="2">
        <v>397</v>
      </c>
      <c r="B398" s="4">
        <f t="shared" si="18"/>
        <v>10</v>
      </c>
      <c r="C398" s="4">
        <f t="shared" si="19"/>
        <v>3</v>
      </c>
      <c r="D398" s="4">
        <f t="shared" si="20"/>
        <v>2023</v>
      </c>
      <c r="E398" s="3">
        <v>44995</v>
      </c>
      <c r="F398" s="4" t="s">
        <v>423</v>
      </c>
      <c r="G398" s="4" t="s">
        <v>19</v>
      </c>
      <c r="H398" s="4" t="str" cm="1">
        <f t="array" ref="H398">_xlfn.IFS(I398&lt;30, "Young Adult", I398&gt;=50, "Senior", I398&gt;=30, "Adult")</f>
        <v>Adult</v>
      </c>
      <c r="I398" s="4">
        <v>30</v>
      </c>
      <c r="J398" s="4" t="s">
        <v>17</v>
      </c>
      <c r="K398" s="4">
        <v>1</v>
      </c>
      <c r="L398" s="5">
        <v>25</v>
      </c>
      <c r="M398" s="5">
        <f>K398 * L398</f>
        <v>25</v>
      </c>
      <c r="N398" s="5">
        <f>M398 * $Q$4</f>
        <v>0.375</v>
      </c>
      <c r="O398" s="5">
        <f>M398* $Q$5</f>
        <v>0.5</v>
      </c>
    </row>
    <row r="399" spans="1:15">
      <c r="A399" s="2">
        <v>398</v>
      </c>
      <c r="B399" s="4">
        <f t="shared" si="18"/>
        <v>16</v>
      </c>
      <c r="C399" s="4">
        <f t="shared" si="19"/>
        <v>5</v>
      </c>
      <c r="D399" s="4">
        <f t="shared" si="20"/>
        <v>2023</v>
      </c>
      <c r="E399" s="3">
        <v>45062</v>
      </c>
      <c r="F399" s="4" t="s">
        <v>424</v>
      </c>
      <c r="G399" s="4" t="s">
        <v>19</v>
      </c>
      <c r="H399" s="4" t="str" cm="1">
        <f t="array" ref="H399">_xlfn.IFS(I399&lt;30, "Young Adult", I399&gt;=50, "Senior", I399&gt;=30, "Adult")</f>
        <v>Adult</v>
      </c>
      <c r="I399" s="4">
        <v>48</v>
      </c>
      <c r="J399" s="4" t="s">
        <v>20</v>
      </c>
      <c r="K399" s="4">
        <v>2</v>
      </c>
      <c r="L399" s="5">
        <v>300</v>
      </c>
      <c r="M399" s="5">
        <f>K399 * L399</f>
        <v>600</v>
      </c>
      <c r="N399" s="5">
        <f>M399 * $Q$4</f>
        <v>9</v>
      </c>
      <c r="O399" s="5">
        <f>M399* $Q$5</f>
        <v>12</v>
      </c>
    </row>
    <row r="400" spans="1:15">
      <c r="A400" s="2">
        <v>399</v>
      </c>
      <c r="B400" s="4">
        <f t="shared" si="18"/>
        <v>1</v>
      </c>
      <c r="C400" s="4">
        <f t="shared" si="19"/>
        <v>3</v>
      </c>
      <c r="D400" s="4">
        <f t="shared" si="20"/>
        <v>2023</v>
      </c>
      <c r="E400" s="3">
        <v>44986</v>
      </c>
      <c r="F400" s="4" t="s">
        <v>425</v>
      </c>
      <c r="G400" s="4" t="s">
        <v>19</v>
      </c>
      <c r="H400" s="4" t="str" cm="1">
        <f t="array" ref="H400">_xlfn.IFS(I400&lt;30, "Young Adult", I400&gt;=50, "Senior", I400&gt;=30, "Adult")</f>
        <v>Senior</v>
      </c>
      <c r="I400" s="4">
        <v>64</v>
      </c>
      <c r="J400" s="4" t="s">
        <v>17</v>
      </c>
      <c r="K400" s="4">
        <v>2</v>
      </c>
      <c r="L400" s="5">
        <v>30</v>
      </c>
      <c r="M400" s="5">
        <f>K400 * L400</f>
        <v>60</v>
      </c>
      <c r="N400" s="5">
        <f>M400 * $Q$4</f>
        <v>0.89999999999999991</v>
      </c>
      <c r="O400" s="5">
        <f>M400* $Q$5</f>
        <v>1.2</v>
      </c>
    </row>
    <row r="401" spans="1:15">
      <c r="A401" s="2">
        <v>400</v>
      </c>
      <c r="B401" s="4">
        <f t="shared" si="18"/>
        <v>24</v>
      </c>
      <c r="C401" s="4">
        <f t="shared" si="19"/>
        <v>2</v>
      </c>
      <c r="D401" s="4">
        <f t="shared" si="20"/>
        <v>2023</v>
      </c>
      <c r="E401" s="3">
        <v>44981</v>
      </c>
      <c r="F401" s="4" t="s">
        <v>426</v>
      </c>
      <c r="G401" s="4" t="s">
        <v>16</v>
      </c>
      <c r="H401" s="4" t="str" cm="1">
        <f t="array" ref="H401">_xlfn.IFS(I401&lt;30, "Young Adult", I401&gt;=50, "Senior", I401&gt;=30, "Adult")</f>
        <v>Senior</v>
      </c>
      <c r="I401" s="4">
        <v>53</v>
      </c>
      <c r="J401" s="4" t="s">
        <v>20</v>
      </c>
      <c r="K401" s="4">
        <v>4</v>
      </c>
      <c r="L401" s="5">
        <v>50</v>
      </c>
      <c r="M401" s="5">
        <f>K401 * L401</f>
        <v>200</v>
      </c>
      <c r="N401" s="5">
        <f>M401 * $Q$4</f>
        <v>3</v>
      </c>
      <c r="O401" s="5">
        <f>M401* $Q$5</f>
        <v>4</v>
      </c>
    </row>
    <row r="402" spans="1:15">
      <c r="A402" s="2">
        <v>401</v>
      </c>
      <c r="B402" s="4">
        <f t="shared" si="18"/>
        <v>11</v>
      </c>
      <c r="C402" s="4">
        <f t="shared" si="19"/>
        <v>10</v>
      </c>
      <c r="D402" s="4">
        <f t="shared" si="20"/>
        <v>2023</v>
      </c>
      <c r="E402" s="3">
        <v>45210</v>
      </c>
      <c r="F402" s="4" t="s">
        <v>427</v>
      </c>
      <c r="G402" s="4" t="s">
        <v>19</v>
      </c>
      <c r="H402" s="4" t="str" cm="1">
        <f t="array" ref="H402">_xlfn.IFS(I402&lt;30, "Young Adult", I402&gt;=50, "Senior", I402&gt;=30, "Adult")</f>
        <v>Senior</v>
      </c>
      <c r="I402" s="4">
        <v>62</v>
      </c>
      <c r="J402" s="4" t="s">
        <v>20</v>
      </c>
      <c r="K402" s="4">
        <v>1</v>
      </c>
      <c r="L402" s="5">
        <v>300</v>
      </c>
      <c r="M402" s="5">
        <f>K402 * L402</f>
        <v>300</v>
      </c>
      <c r="N402" s="5">
        <f>M402 * $Q$4</f>
        <v>4.5</v>
      </c>
      <c r="O402" s="5">
        <f>M402* $Q$5</f>
        <v>6</v>
      </c>
    </row>
    <row r="403" spans="1:15">
      <c r="A403" s="2">
        <v>402</v>
      </c>
      <c r="B403" s="4">
        <f t="shared" si="18"/>
        <v>21</v>
      </c>
      <c r="C403" s="4">
        <f t="shared" si="19"/>
        <v>3</v>
      </c>
      <c r="D403" s="4">
        <f t="shared" si="20"/>
        <v>2023</v>
      </c>
      <c r="E403" s="3">
        <v>45006</v>
      </c>
      <c r="F403" s="4" t="s">
        <v>428</v>
      </c>
      <c r="G403" s="4" t="s">
        <v>19</v>
      </c>
      <c r="H403" s="4" t="str" cm="1">
        <f t="array" ref="H403">_xlfn.IFS(I403&lt;30, "Young Adult", I403&gt;=50, "Senior", I403&gt;=30, "Adult")</f>
        <v>Adult</v>
      </c>
      <c r="I403" s="4">
        <v>41</v>
      </c>
      <c r="J403" s="4" t="s">
        <v>20</v>
      </c>
      <c r="K403" s="4">
        <v>2</v>
      </c>
      <c r="L403" s="5">
        <v>300</v>
      </c>
      <c r="M403" s="5">
        <f>K403 * L403</f>
        <v>600</v>
      </c>
      <c r="N403" s="5">
        <f>M403 * $Q$4</f>
        <v>9</v>
      </c>
      <c r="O403" s="5">
        <f>M403* $Q$5</f>
        <v>12</v>
      </c>
    </row>
    <row r="404" spans="1:15">
      <c r="A404" s="2">
        <v>403</v>
      </c>
      <c r="B404" s="4">
        <f t="shared" si="18"/>
        <v>20</v>
      </c>
      <c r="C404" s="4">
        <f t="shared" si="19"/>
        <v>5</v>
      </c>
      <c r="D404" s="4">
        <f t="shared" si="20"/>
        <v>2023</v>
      </c>
      <c r="E404" s="3">
        <v>45066</v>
      </c>
      <c r="F404" s="4" t="s">
        <v>429</v>
      </c>
      <c r="G404" s="4" t="s">
        <v>16</v>
      </c>
      <c r="H404" s="4" t="str" cm="1">
        <f t="array" ref="H404">_xlfn.IFS(I404&lt;30, "Young Adult", I404&gt;=50, "Senior", I404&gt;=30, "Adult")</f>
        <v>Adult</v>
      </c>
      <c r="I404" s="4">
        <v>32</v>
      </c>
      <c r="J404" s="4" t="s">
        <v>20</v>
      </c>
      <c r="K404" s="4">
        <v>2</v>
      </c>
      <c r="L404" s="5">
        <v>300</v>
      </c>
      <c r="M404" s="5">
        <f>K404 * L404</f>
        <v>600</v>
      </c>
      <c r="N404" s="5">
        <f>M404 * $Q$4</f>
        <v>9</v>
      </c>
      <c r="O404" s="5">
        <f>M404* $Q$5</f>
        <v>12</v>
      </c>
    </row>
    <row r="405" spans="1:15">
      <c r="A405" s="2">
        <v>404</v>
      </c>
      <c r="B405" s="4">
        <f t="shared" si="18"/>
        <v>25</v>
      </c>
      <c r="C405" s="4">
        <f t="shared" si="19"/>
        <v>5</v>
      </c>
      <c r="D405" s="4">
        <f t="shared" si="20"/>
        <v>2023</v>
      </c>
      <c r="E405" s="3">
        <v>45071</v>
      </c>
      <c r="F405" s="4" t="s">
        <v>430</v>
      </c>
      <c r="G405" s="4" t="s">
        <v>16</v>
      </c>
      <c r="H405" s="4" t="str" cm="1">
        <f t="array" ref="H405">_xlfn.IFS(I405&lt;30, "Young Adult", I405&gt;=50, "Senior", I405&gt;=30, "Adult")</f>
        <v>Adult</v>
      </c>
      <c r="I405" s="4">
        <v>46</v>
      </c>
      <c r="J405" s="4" t="s">
        <v>24</v>
      </c>
      <c r="K405" s="4">
        <v>2</v>
      </c>
      <c r="L405" s="5">
        <v>500</v>
      </c>
      <c r="M405" s="5">
        <f>K405 * L405</f>
        <v>1000</v>
      </c>
      <c r="N405" s="5">
        <f>M405 * $Q$4</f>
        <v>15</v>
      </c>
      <c r="O405" s="5">
        <f>M405* $Q$5</f>
        <v>20</v>
      </c>
    </row>
    <row r="406" spans="1:15">
      <c r="A406" s="2">
        <v>405</v>
      </c>
      <c r="B406" s="4">
        <f t="shared" si="18"/>
        <v>6</v>
      </c>
      <c r="C406" s="4">
        <f t="shared" si="19"/>
        <v>11</v>
      </c>
      <c r="D406" s="4">
        <f t="shared" si="20"/>
        <v>2023</v>
      </c>
      <c r="E406" s="3">
        <v>45236</v>
      </c>
      <c r="F406" s="4" t="s">
        <v>431</v>
      </c>
      <c r="G406" s="4" t="s">
        <v>19</v>
      </c>
      <c r="H406" s="4" t="str" cm="1">
        <f t="array" ref="H406">_xlfn.IFS(I406&lt;30, "Young Adult", I406&gt;=50, "Senior", I406&gt;=30, "Adult")</f>
        <v>Young Adult</v>
      </c>
      <c r="I406" s="4">
        <v>25</v>
      </c>
      <c r="J406" s="4" t="s">
        <v>20</v>
      </c>
      <c r="K406" s="4">
        <v>4</v>
      </c>
      <c r="L406" s="5">
        <v>300</v>
      </c>
      <c r="M406" s="5">
        <f>K406 * L406</f>
        <v>1200</v>
      </c>
      <c r="N406" s="5">
        <f>M406 * $Q$4</f>
        <v>18</v>
      </c>
      <c r="O406" s="5">
        <f>M406* $Q$5</f>
        <v>24</v>
      </c>
    </row>
    <row r="407" spans="1:15">
      <c r="A407" s="2">
        <v>406</v>
      </c>
      <c r="B407" s="4">
        <f t="shared" si="18"/>
        <v>18</v>
      </c>
      <c r="C407" s="4">
        <f t="shared" si="19"/>
        <v>4</v>
      </c>
      <c r="D407" s="4">
        <f t="shared" si="20"/>
        <v>2023</v>
      </c>
      <c r="E407" s="3">
        <v>45034</v>
      </c>
      <c r="F407" s="4" t="s">
        <v>432</v>
      </c>
      <c r="G407" s="4" t="s">
        <v>19</v>
      </c>
      <c r="H407" s="4" t="str" cm="1">
        <f t="array" ref="H407">_xlfn.IFS(I407&lt;30, "Young Adult", I407&gt;=50, "Senior", I407&gt;=30, "Adult")</f>
        <v>Young Adult</v>
      </c>
      <c r="I407" s="4">
        <v>22</v>
      </c>
      <c r="J407" s="4" t="s">
        <v>17</v>
      </c>
      <c r="K407" s="4">
        <v>4</v>
      </c>
      <c r="L407" s="5">
        <v>25</v>
      </c>
      <c r="M407" s="5">
        <f>K407 * L407</f>
        <v>100</v>
      </c>
      <c r="N407" s="5">
        <f>M407 * $Q$4</f>
        <v>1.5</v>
      </c>
      <c r="O407" s="5">
        <f>M407* $Q$5</f>
        <v>2</v>
      </c>
    </row>
    <row r="408" spans="1:15">
      <c r="A408" s="2">
        <v>407</v>
      </c>
      <c r="B408" s="4">
        <f t="shared" si="18"/>
        <v>25</v>
      </c>
      <c r="C408" s="4">
        <f t="shared" si="19"/>
        <v>6</v>
      </c>
      <c r="D408" s="4">
        <f t="shared" si="20"/>
        <v>2023</v>
      </c>
      <c r="E408" s="3">
        <v>45102</v>
      </c>
      <c r="F408" s="4" t="s">
        <v>433</v>
      </c>
      <c r="G408" s="4" t="s">
        <v>19</v>
      </c>
      <c r="H408" s="4" t="str" cm="1">
        <f t="array" ref="H408">_xlfn.IFS(I408&lt;30, "Young Adult", I408&gt;=50, "Senior", I408&gt;=30, "Adult")</f>
        <v>Adult</v>
      </c>
      <c r="I408" s="4">
        <v>46</v>
      </c>
      <c r="J408" s="4" t="s">
        <v>24</v>
      </c>
      <c r="K408" s="4">
        <v>3</v>
      </c>
      <c r="L408" s="5">
        <v>300</v>
      </c>
      <c r="M408" s="5">
        <f>K408 * L408</f>
        <v>900</v>
      </c>
      <c r="N408" s="5">
        <f>M408 * $Q$4</f>
        <v>13.5</v>
      </c>
      <c r="O408" s="5">
        <f>M408* $Q$5</f>
        <v>18</v>
      </c>
    </row>
    <row r="409" spans="1:15">
      <c r="A409" s="2">
        <v>408</v>
      </c>
      <c r="B409" s="4">
        <f t="shared" si="18"/>
        <v>15</v>
      </c>
      <c r="C409" s="4">
        <f t="shared" si="19"/>
        <v>4</v>
      </c>
      <c r="D409" s="4">
        <f t="shared" si="20"/>
        <v>2023</v>
      </c>
      <c r="E409" s="3">
        <v>45031</v>
      </c>
      <c r="F409" s="4" t="s">
        <v>434</v>
      </c>
      <c r="G409" s="4" t="s">
        <v>19</v>
      </c>
      <c r="H409" s="4" t="str" cm="1">
        <f t="array" ref="H409">_xlfn.IFS(I409&lt;30, "Young Adult", I409&gt;=50, "Senior", I409&gt;=30, "Adult")</f>
        <v>Senior</v>
      </c>
      <c r="I409" s="4">
        <v>64</v>
      </c>
      <c r="J409" s="4" t="s">
        <v>17</v>
      </c>
      <c r="K409" s="4">
        <v>1</v>
      </c>
      <c r="L409" s="5">
        <v>500</v>
      </c>
      <c r="M409" s="5">
        <f>K409 * L409</f>
        <v>500</v>
      </c>
      <c r="N409" s="5">
        <f>M409 * $Q$4</f>
        <v>7.5</v>
      </c>
      <c r="O409" s="5">
        <f>M409* $Q$5</f>
        <v>10</v>
      </c>
    </row>
    <row r="410" spans="1:15">
      <c r="A410" s="2">
        <v>409</v>
      </c>
      <c r="B410" s="4">
        <f t="shared" si="18"/>
        <v>18</v>
      </c>
      <c r="C410" s="4">
        <f t="shared" si="19"/>
        <v>12</v>
      </c>
      <c r="D410" s="4">
        <f t="shared" si="20"/>
        <v>2023</v>
      </c>
      <c r="E410" s="3">
        <v>45278</v>
      </c>
      <c r="F410" s="4" t="s">
        <v>435</v>
      </c>
      <c r="G410" s="4" t="s">
        <v>19</v>
      </c>
      <c r="H410" s="4" t="str" cm="1">
        <f t="array" ref="H410">_xlfn.IFS(I410&lt;30, "Young Adult", I410&gt;=50, "Senior", I410&gt;=30, "Adult")</f>
        <v>Young Adult</v>
      </c>
      <c r="I410" s="4">
        <v>21</v>
      </c>
      <c r="J410" s="4" t="s">
        <v>24</v>
      </c>
      <c r="K410" s="4">
        <v>3</v>
      </c>
      <c r="L410" s="5">
        <v>300</v>
      </c>
      <c r="M410" s="5">
        <f>K410 * L410</f>
        <v>900</v>
      </c>
      <c r="N410" s="5">
        <f>M410 * $Q$4</f>
        <v>13.5</v>
      </c>
      <c r="O410" s="5">
        <f>M410* $Q$5</f>
        <v>18</v>
      </c>
    </row>
    <row r="411" spans="1:15">
      <c r="A411" s="2">
        <v>410</v>
      </c>
      <c r="B411" s="4">
        <f t="shared" si="18"/>
        <v>21</v>
      </c>
      <c r="C411" s="4">
        <f t="shared" si="19"/>
        <v>11</v>
      </c>
      <c r="D411" s="4">
        <f t="shared" si="20"/>
        <v>2023</v>
      </c>
      <c r="E411" s="3">
        <v>45251</v>
      </c>
      <c r="F411" s="4" t="s">
        <v>436</v>
      </c>
      <c r="G411" s="4" t="s">
        <v>19</v>
      </c>
      <c r="H411" s="4" t="str" cm="1">
        <f t="array" ref="H411">_xlfn.IFS(I411&lt;30, "Young Adult", I411&gt;=50, "Senior", I411&gt;=30, "Adult")</f>
        <v>Young Adult</v>
      </c>
      <c r="I411" s="4">
        <v>29</v>
      </c>
      <c r="J411" s="4" t="s">
        <v>20</v>
      </c>
      <c r="K411" s="4">
        <v>2</v>
      </c>
      <c r="L411" s="5">
        <v>50</v>
      </c>
      <c r="M411" s="5">
        <f>K411 * L411</f>
        <v>100</v>
      </c>
      <c r="N411" s="5">
        <f>M411 * $Q$4</f>
        <v>1.5</v>
      </c>
      <c r="O411" s="5">
        <f>M411* $Q$5</f>
        <v>2</v>
      </c>
    </row>
    <row r="412" spans="1:15">
      <c r="A412" s="2">
        <v>411</v>
      </c>
      <c r="B412" s="4">
        <f t="shared" si="18"/>
        <v>16</v>
      </c>
      <c r="C412" s="4">
        <f t="shared" si="19"/>
        <v>5</v>
      </c>
      <c r="D412" s="4">
        <f t="shared" si="20"/>
        <v>2023</v>
      </c>
      <c r="E412" s="3">
        <v>45062</v>
      </c>
      <c r="F412" s="4" t="s">
        <v>437</v>
      </c>
      <c r="G412" s="4" t="s">
        <v>16</v>
      </c>
      <c r="H412" s="4" t="str" cm="1">
        <f t="array" ref="H412">_xlfn.IFS(I412&lt;30, "Young Adult", I412&gt;=50, "Senior", I412&gt;=30, "Adult")</f>
        <v>Senior</v>
      </c>
      <c r="I412" s="4">
        <v>62</v>
      </c>
      <c r="J412" s="4" t="s">
        <v>24</v>
      </c>
      <c r="K412" s="4">
        <v>4</v>
      </c>
      <c r="L412" s="5">
        <v>50</v>
      </c>
      <c r="M412" s="5">
        <f>K412 * L412</f>
        <v>200</v>
      </c>
      <c r="N412" s="5">
        <f>M412 * $Q$4</f>
        <v>3</v>
      </c>
      <c r="O412" s="5">
        <f>M412* $Q$5</f>
        <v>4</v>
      </c>
    </row>
    <row r="413" spans="1:15">
      <c r="A413" s="2">
        <v>412</v>
      </c>
      <c r="B413" s="4">
        <f t="shared" si="18"/>
        <v>16</v>
      </c>
      <c r="C413" s="4">
        <f t="shared" si="19"/>
        <v>9</v>
      </c>
      <c r="D413" s="4">
        <f t="shared" si="20"/>
        <v>2023</v>
      </c>
      <c r="E413" s="3">
        <v>45185</v>
      </c>
      <c r="F413" s="4" t="s">
        <v>438</v>
      </c>
      <c r="G413" s="4" t="s">
        <v>19</v>
      </c>
      <c r="H413" s="4" t="str" cm="1">
        <f t="array" ref="H413">_xlfn.IFS(I413&lt;30, "Young Adult", I413&gt;=50, "Senior", I413&gt;=30, "Adult")</f>
        <v>Young Adult</v>
      </c>
      <c r="I413" s="4">
        <v>19</v>
      </c>
      <c r="J413" s="4" t="s">
        <v>24</v>
      </c>
      <c r="K413" s="4">
        <v>4</v>
      </c>
      <c r="L413" s="5">
        <v>500</v>
      </c>
      <c r="M413" s="5">
        <f>K413 * L413</f>
        <v>2000</v>
      </c>
      <c r="N413" s="5">
        <f>M413 * $Q$4</f>
        <v>30</v>
      </c>
      <c r="O413" s="5">
        <f>M413* $Q$5</f>
        <v>40</v>
      </c>
    </row>
    <row r="414" spans="1:15">
      <c r="A414" s="2">
        <v>413</v>
      </c>
      <c r="B414" s="4">
        <f t="shared" si="18"/>
        <v>8</v>
      </c>
      <c r="C414" s="4">
        <f t="shared" si="19"/>
        <v>9</v>
      </c>
      <c r="D414" s="4">
        <f t="shared" si="20"/>
        <v>2023</v>
      </c>
      <c r="E414" s="3">
        <v>45177</v>
      </c>
      <c r="F414" s="4" t="s">
        <v>439</v>
      </c>
      <c r="G414" s="4" t="s">
        <v>19</v>
      </c>
      <c r="H414" s="4" t="str" cm="1">
        <f t="array" ref="H414">_xlfn.IFS(I414&lt;30, "Young Adult", I414&gt;=50, "Senior", I414&gt;=30, "Adult")</f>
        <v>Adult</v>
      </c>
      <c r="I414" s="4">
        <v>44</v>
      </c>
      <c r="J414" s="4" t="s">
        <v>17</v>
      </c>
      <c r="K414" s="4">
        <v>3</v>
      </c>
      <c r="L414" s="5">
        <v>25</v>
      </c>
      <c r="M414" s="5">
        <f>K414 * L414</f>
        <v>75</v>
      </c>
      <c r="N414" s="5">
        <f>M414 * $Q$4</f>
        <v>1.125</v>
      </c>
      <c r="O414" s="5">
        <f>M414* $Q$5</f>
        <v>1.5</v>
      </c>
    </row>
    <row r="415" spans="1:15">
      <c r="A415" s="2">
        <v>414</v>
      </c>
      <c r="B415" s="4">
        <f t="shared" si="18"/>
        <v>9</v>
      </c>
      <c r="C415" s="4">
        <f t="shared" si="19"/>
        <v>5</v>
      </c>
      <c r="D415" s="4">
        <f t="shared" si="20"/>
        <v>2023</v>
      </c>
      <c r="E415" s="3">
        <v>45055</v>
      </c>
      <c r="F415" s="4" t="s">
        <v>440</v>
      </c>
      <c r="G415" s="4" t="s">
        <v>16</v>
      </c>
      <c r="H415" s="4" t="str" cm="1">
        <f t="array" ref="H415">_xlfn.IFS(I415&lt;30, "Young Adult", I415&gt;=50, "Senior", I415&gt;=30, "Adult")</f>
        <v>Adult</v>
      </c>
      <c r="I415" s="4">
        <v>48</v>
      </c>
      <c r="J415" s="4" t="s">
        <v>17</v>
      </c>
      <c r="K415" s="4">
        <v>4</v>
      </c>
      <c r="L415" s="5">
        <v>25</v>
      </c>
      <c r="M415" s="5">
        <f>K415 * L415</f>
        <v>100</v>
      </c>
      <c r="N415" s="5">
        <f>M415 * $Q$4</f>
        <v>1.5</v>
      </c>
      <c r="O415" s="5">
        <f>M415* $Q$5</f>
        <v>2</v>
      </c>
    </row>
    <row r="416" spans="1:15">
      <c r="A416" s="2">
        <v>415</v>
      </c>
      <c r="B416" s="4">
        <f t="shared" si="18"/>
        <v>27</v>
      </c>
      <c r="C416" s="4">
        <f t="shared" si="19"/>
        <v>1</v>
      </c>
      <c r="D416" s="4">
        <f t="shared" si="20"/>
        <v>2023</v>
      </c>
      <c r="E416" s="3">
        <v>44953</v>
      </c>
      <c r="F416" s="4" t="s">
        <v>441</v>
      </c>
      <c r="G416" s="4" t="s">
        <v>16</v>
      </c>
      <c r="H416" s="4" t="str" cm="1">
        <f t="array" ref="H416">_xlfn.IFS(I416&lt;30, "Young Adult", I416&gt;=50, "Senior", I416&gt;=30, "Adult")</f>
        <v>Senior</v>
      </c>
      <c r="I416" s="4">
        <v>53</v>
      </c>
      <c r="J416" s="4" t="s">
        <v>20</v>
      </c>
      <c r="K416" s="4">
        <v>2</v>
      </c>
      <c r="L416" s="5">
        <v>30</v>
      </c>
      <c r="M416" s="5">
        <f>K416 * L416</f>
        <v>60</v>
      </c>
      <c r="N416" s="5">
        <f>M416 * $Q$4</f>
        <v>0.89999999999999991</v>
      </c>
      <c r="O416" s="5">
        <f>M416* $Q$5</f>
        <v>1.2</v>
      </c>
    </row>
    <row r="417" spans="1:15">
      <c r="A417" s="2">
        <v>416</v>
      </c>
      <c r="B417" s="4">
        <f t="shared" si="18"/>
        <v>17</v>
      </c>
      <c r="C417" s="4">
        <f t="shared" si="19"/>
        <v>2</v>
      </c>
      <c r="D417" s="4">
        <f t="shared" si="20"/>
        <v>2023</v>
      </c>
      <c r="E417" s="3">
        <v>44974</v>
      </c>
      <c r="F417" s="4" t="s">
        <v>442</v>
      </c>
      <c r="G417" s="4" t="s">
        <v>16</v>
      </c>
      <c r="H417" s="4" t="str" cm="1">
        <f t="array" ref="H417">_xlfn.IFS(I417&lt;30, "Young Adult", I417&gt;=50, "Senior", I417&gt;=30, "Adult")</f>
        <v>Senior</v>
      </c>
      <c r="I417" s="4">
        <v>53</v>
      </c>
      <c r="J417" s="4" t="s">
        <v>24</v>
      </c>
      <c r="K417" s="4">
        <v>4</v>
      </c>
      <c r="L417" s="5">
        <v>500</v>
      </c>
      <c r="M417" s="5">
        <f>K417 * L417</f>
        <v>2000</v>
      </c>
      <c r="N417" s="5">
        <f>M417 * $Q$4</f>
        <v>30</v>
      </c>
      <c r="O417" s="5">
        <f>M417* $Q$5</f>
        <v>40</v>
      </c>
    </row>
    <row r="418" spans="1:15">
      <c r="A418" s="2">
        <v>417</v>
      </c>
      <c r="B418" s="4">
        <f t="shared" si="18"/>
        <v>21</v>
      </c>
      <c r="C418" s="4">
        <f t="shared" si="19"/>
        <v>11</v>
      </c>
      <c r="D418" s="4">
        <f t="shared" si="20"/>
        <v>2023</v>
      </c>
      <c r="E418" s="3">
        <v>45251</v>
      </c>
      <c r="F418" s="4" t="s">
        <v>443</v>
      </c>
      <c r="G418" s="4" t="s">
        <v>16</v>
      </c>
      <c r="H418" s="4" t="str" cm="1">
        <f t="array" ref="H418">_xlfn.IFS(I418&lt;30, "Young Adult", I418&gt;=50, "Senior", I418&gt;=30, "Adult")</f>
        <v>Adult</v>
      </c>
      <c r="I418" s="4">
        <v>43</v>
      </c>
      <c r="J418" s="4" t="s">
        <v>24</v>
      </c>
      <c r="K418" s="4">
        <v>3</v>
      </c>
      <c r="L418" s="5">
        <v>300</v>
      </c>
      <c r="M418" s="5">
        <f>K418 * L418</f>
        <v>900</v>
      </c>
      <c r="N418" s="5">
        <f>M418 * $Q$4</f>
        <v>13.5</v>
      </c>
      <c r="O418" s="5">
        <f>M418* $Q$5</f>
        <v>18</v>
      </c>
    </row>
    <row r="419" spans="1:15">
      <c r="A419" s="2">
        <v>418</v>
      </c>
      <c r="B419" s="4">
        <f t="shared" si="18"/>
        <v>5</v>
      </c>
      <c r="C419" s="4">
        <f t="shared" si="19"/>
        <v>8</v>
      </c>
      <c r="D419" s="4">
        <f t="shared" si="20"/>
        <v>2023</v>
      </c>
      <c r="E419" s="3">
        <v>45143</v>
      </c>
      <c r="F419" s="4" t="s">
        <v>444</v>
      </c>
      <c r="G419" s="4" t="s">
        <v>19</v>
      </c>
      <c r="H419" s="4" t="str" cm="1">
        <f t="array" ref="H419">_xlfn.IFS(I419&lt;30, "Young Adult", I419&gt;=50, "Senior", I419&gt;=30, "Adult")</f>
        <v>Senior</v>
      </c>
      <c r="I419" s="4">
        <v>60</v>
      </c>
      <c r="J419" s="4" t="s">
        <v>24</v>
      </c>
      <c r="K419" s="4">
        <v>2</v>
      </c>
      <c r="L419" s="5">
        <v>500</v>
      </c>
      <c r="M419" s="5">
        <f>K419 * L419</f>
        <v>1000</v>
      </c>
      <c r="N419" s="5">
        <f>M419 * $Q$4</f>
        <v>15</v>
      </c>
      <c r="O419" s="5">
        <f>M419* $Q$5</f>
        <v>20</v>
      </c>
    </row>
    <row r="420" spans="1:15">
      <c r="A420" s="2">
        <v>419</v>
      </c>
      <c r="B420" s="4">
        <f t="shared" si="18"/>
        <v>22</v>
      </c>
      <c r="C420" s="4">
        <f t="shared" si="19"/>
        <v>5</v>
      </c>
      <c r="D420" s="4">
        <f t="shared" si="20"/>
        <v>2023</v>
      </c>
      <c r="E420" s="3">
        <v>45068</v>
      </c>
      <c r="F420" s="4" t="s">
        <v>445</v>
      </c>
      <c r="G420" s="4" t="s">
        <v>19</v>
      </c>
      <c r="H420" s="4" t="str" cm="1">
        <f t="array" ref="H420">_xlfn.IFS(I420&lt;30, "Young Adult", I420&gt;=50, "Senior", I420&gt;=30, "Adult")</f>
        <v>Adult</v>
      </c>
      <c r="I420" s="4">
        <v>44</v>
      </c>
      <c r="J420" s="4" t="s">
        <v>20</v>
      </c>
      <c r="K420" s="4">
        <v>3</v>
      </c>
      <c r="L420" s="5">
        <v>30</v>
      </c>
      <c r="M420" s="5">
        <f>K420 * L420</f>
        <v>90</v>
      </c>
      <c r="N420" s="5">
        <f>M420 * $Q$4</f>
        <v>1.3499999999999999</v>
      </c>
      <c r="O420" s="5">
        <f>M420* $Q$5</f>
        <v>1.8</v>
      </c>
    </row>
    <row r="421" spans="1:15">
      <c r="A421" s="2">
        <v>420</v>
      </c>
      <c r="B421" s="4">
        <f t="shared" si="18"/>
        <v>23</v>
      </c>
      <c r="C421" s="4">
        <f t="shared" si="19"/>
        <v>1</v>
      </c>
      <c r="D421" s="4">
        <f t="shared" si="20"/>
        <v>2023</v>
      </c>
      <c r="E421" s="3">
        <v>44949</v>
      </c>
      <c r="F421" s="4" t="s">
        <v>446</v>
      </c>
      <c r="G421" s="4" t="s">
        <v>19</v>
      </c>
      <c r="H421" s="4" t="str" cm="1">
        <f t="array" ref="H421">_xlfn.IFS(I421&lt;30, "Young Adult", I421&gt;=50, "Senior", I421&gt;=30, "Adult")</f>
        <v>Young Adult</v>
      </c>
      <c r="I421" s="4">
        <v>22</v>
      </c>
      <c r="J421" s="4" t="s">
        <v>20</v>
      </c>
      <c r="K421" s="4">
        <v>4</v>
      </c>
      <c r="L421" s="5">
        <v>500</v>
      </c>
      <c r="M421" s="5">
        <f>K421 * L421</f>
        <v>2000</v>
      </c>
      <c r="N421" s="5">
        <f>M421 * $Q$4</f>
        <v>30</v>
      </c>
      <c r="O421" s="5">
        <f>M421* $Q$5</f>
        <v>40</v>
      </c>
    </row>
    <row r="422" spans="1:15">
      <c r="A422" s="2">
        <v>421</v>
      </c>
      <c r="B422" s="4">
        <f t="shared" si="18"/>
        <v>2</v>
      </c>
      <c r="C422" s="4">
        <f t="shared" si="19"/>
        <v>1</v>
      </c>
      <c r="D422" s="4">
        <f t="shared" si="20"/>
        <v>2023</v>
      </c>
      <c r="E422" s="3">
        <v>44928</v>
      </c>
      <c r="F422" s="4" t="s">
        <v>447</v>
      </c>
      <c r="G422" s="4" t="s">
        <v>19</v>
      </c>
      <c r="H422" s="4" t="str" cm="1">
        <f t="array" ref="H422">_xlfn.IFS(I422&lt;30, "Young Adult", I422&gt;=50, "Senior", I422&gt;=30, "Adult")</f>
        <v>Adult</v>
      </c>
      <c r="I422" s="4">
        <v>37</v>
      </c>
      <c r="J422" s="4" t="s">
        <v>20</v>
      </c>
      <c r="K422" s="4">
        <v>3</v>
      </c>
      <c r="L422" s="5">
        <v>500</v>
      </c>
      <c r="M422" s="5">
        <f>K422 * L422</f>
        <v>1500</v>
      </c>
      <c r="N422" s="5">
        <f>M422 * $Q$4</f>
        <v>22.5</v>
      </c>
      <c r="O422" s="5">
        <f>M422* $Q$5</f>
        <v>30</v>
      </c>
    </row>
    <row r="423" spans="1:15">
      <c r="A423" s="2">
        <v>422</v>
      </c>
      <c r="B423" s="4">
        <f t="shared" si="18"/>
        <v>20</v>
      </c>
      <c r="C423" s="4">
        <f t="shared" si="19"/>
        <v>6</v>
      </c>
      <c r="D423" s="4">
        <f t="shared" si="20"/>
        <v>2023</v>
      </c>
      <c r="E423" s="3">
        <v>45097</v>
      </c>
      <c r="F423" s="4" t="s">
        <v>448</v>
      </c>
      <c r="G423" s="4" t="s">
        <v>19</v>
      </c>
      <c r="H423" s="4" t="str" cm="1">
        <f t="array" ref="H423">_xlfn.IFS(I423&lt;30, "Young Adult", I423&gt;=50, "Senior", I423&gt;=30, "Adult")</f>
        <v>Young Adult</v>
      </c>
      <c r="I423" s="4">
        <v>28</v>
      </c>
      <c r="J423" s="4" t="s">
        <v>20</v>
      </c>
      <c r="K423" s="4">
        <v>3</v>
      </c>
      <c r="L423" s="5">
        <v>30</v>
      </c>
      <c r="M423" s="5">
        <f>K423 * L423</f>
        <v>90</v>
      </c>
      <c r="N423" s="5">
        <f>M423 * $Q$4</f>
        <v>1.3499999999999999</v>
      </c>
      <c r="O423" s="5">
        <f>M423* $Q$5</f>
        <v>1.8</v>
      </c>
    </row>
    <row r="424" spans="1:15">
      <c r="A424" s="2">
        <v>423</v>
      </c>
      <c r="B424" s="4">
        <f t="shared" si="18"/>
        <v>8</v>
      </c>
      <c r="C424" s="4">
        <f t="shared" si="19"/>
        <v>3</v>
      </c>
      <c r="D424" s="4">
        <f t="shared" si="20"/>
        <v>2023</v>
      </c>
      <c r="E424" s="3">
        <v>44993</v>
      </c>
      <c r="F424" s="4" t="s">
        <v>449</v>
      </c>
      <c r="G424" s="4" t="s">
        <v>19</v>
      </c>
      <c r="H424" s="4" t="str" cm="1">
        <f t="array" ref="H424">_xlfn.IFS(I424&lt;30, "Young Adult", I424&gt;=50, "Senior", I424&gt;=30, "Adult")</f>
        <v>Young Adult</v>
      </c>
      <c r="I424" s="4">
        <v>27</v>
      </c>
      <c r="J424" s="4" t="s">
        <v>20</v>
      </c>
      <c r="K424" s="4">
        <v>1</v>
      </c>
      <c r="L424" s="5">
        <v>25</v>
      </c>
      <c r="M424" s="5">
        <f>K424 * L424</f>
        <v>25</v>
      </c>
      <c r="N424" s="5">
        <f>M424 * $Q$4</f>
        <v>0.375</v>
      </c>
      <c r="O424" s="5">
        <f>M424* $Q$5</f>
        <v>0.5</v>
      </c>
    </row>
    <row r="425" spans="1:15">
      <c r="A425" s="2">
        <v>424</v>
      </c>
      <c r="B425" s="4">
        <f t="shared" si="18"/>
        <v>23</v>
      </c>
      <c r="C425" s="4">
        <f t="shared" si="19"/>
        <v>11</v>
      </c>
      <c r="D425" s="4">
        <f t="shared" si="20"/>
        <v>2023</v>
      </c>
      <c r="E425" s="3">
        <v>45253</v>
      </c>
      <c r="F425" s="4" t="s">
        <v>450</v>
      </c>
      <c r="G425" s="4" t="s">
        <v>16</v>
      </c>
      <c r="H425" s="4" t="str" cm="1">
        <f t="array" ref="H425">_xlfn.IFS(I425&lt;30, "Young Adult", I425&gt;=50, "Senior", I425&gt;=30, "Adult")</f>
        <v>Senior</v>
      </c>
      <c r="I425" s="4">
        <v>57</v>
      </c>
      <c r="J425" s="4" t="s">
        <v>17</v>
      </c>
      <c r="K425" s="4">
        <v>4</v>
      </c>
      <c r="L425" s="5">
        <v>300</v>
      </c>
      <c r="M425" s="5">
        <f>K425 * L425</f>
        <v>1200</v>
      </c>
      <c r="N425" s="5">
        <f>M425 * $Q$4</f>
        <v>18</v>
      </c>
      <c r="O425" s="5">
        <f>M425* $Q$5</f>
        <v>24</v>
      </c>
    </row>
    <row r="426" spans="1:15">
      <c r="A426" s="2">
        <v>425</v>
      </c>
      <c r="B426" s="4">
        <f t="shared" si="18"/>
        <v>15</v>
      </c>
      <c r="C426" s="4">
        <f t="shared" si="19"/>
        <v>5</v>
      </c>
      <c r="D426" s="4">
        <f t="shared" si="20"/>
        <v>2023</v>
      </c>
      <c r="E426" s="3">
        <v>45061</v>
      </c>
      <c r="F426" s="4" t="s">
        <v>451</v>
      </c>
      <c r="G426" s="4" t="s">
        <v>19</v>
      </c>
      <c r="H426" s="4" t="str" cm="1">
        <f t="array" ref="H426">_xlfn.IFS(I426&lt;30, "Young Adult", I426&gt;=50, "Senior", I426&gt;=30, "Adult")</f>
        <v>Senior</v>
      </c>
      <c r="I426" s="4">
        <v>55</v>
      </c>
      <c r="J426" s="4" t="s">
        <v>24</v>
      </c>
      <c r="K426" s="4">
        <v>4</v>
      </c>
      <c r="L426" s="5">
        <v>30</v>
      </c>
      <c r="M426" s="5">
        <f>K426 * L426</f>
        <v>120</v>
      </c>
      <c r="N426" s="5">
        <f>M426 * $Q$4</f>
        <v>1.7999999999999998</v>
      </c>
      <c r="O426" s="5">
        <f>M426* $Q$5</f>
        <v>2.4</v>
      </c>
    </row>
    <row r="427" spans="1:15">
      <c r="A427" s="2">
        <v>426</v>
      </c>
      <c r="B427" s="4">
        <f t="shared" si="18"/>
        <v>24</v>
      </c>
      <c r="C427" s="4">
        <f t="shared" si="19"/>
        <v>3</v>
      </c>
      <c r="D427" s="4">
        <f t="shared" si="20"/>
        <v>2023</v>
      </c>
      <c r="E427" s="3">
        <v>45009</v>
      </c>
      <c r="F427" s="4" t="s">
        <v>452</v>
      </c>
      <c r="G427" s="4" t="s">
        <v>16</v>
      </c>
      <c r="H427" s="4" t="str" cm="1">
        <f t="array" ref="H427">_xlfn.IFS(I427&lt;30, "Young Adult", I427&gt;=50, "Senior", I427&gt;=30, "Adult")</f>
        <v>Young Adult</v>
      </c>
      <c r="I427" s="4">
        <v>23</v>
      </c>
      <c r="J427" s="4" t="s">
        <v>24</v>
      </c>
      <c r="K427" s="4">
        <v>3</v>
      </c>
      <c r="L427" s="5">
        <v>50</v>
      </c>
      <c r="M427" s="5">
        <f>K427 * L427</f>
        <v>150</v>
      </c>
      <c r="N427" s="5">
        <f>M427 * $Q$4</f>
        <v>2.25</v>
      </c>
      <c r="O427" s="5">
        <f>M427* $Q$5</f>
        <v>3</v>
      </c>
    </row>
    <row r="428" spans="1:15">
      <c r="A428" s="2">
        <v>427</v>
      </c>
      <c r="B428" s="4">
        <f t="shared" si="18"/>
        <v>15</v>
      </c>
      <c r="C428" s="4">
        <f t="shared" si="19"/>
        <v>8</v>
      </c>
      <c r="D428" s="4">
        <f t="shared" si="20"/>
        <v>2023</v>
      </c>
      <c r="E428" s="3">
        <v>45153</v>
      </c>
      <c r="F428" s="4" t="s">
        <v>453</v>
      </c>
      <c r="G428" s="4" t="s">
        <v>16</v>
      </c>
      <c r="H428" s="4" t="str" cm="1">
        <f t="array" ref="H428">_xlfn.IFS(I428&lt;30, "Young Adult", I428&gt;=50, "Senior", I428&gt;=30, "Adult")</f>
        <v>Young Adult</v>
      </c>
      <c r="I428" s="4">
        <v>25</v>
      </c>
      <c r="J428" s="4" t="s">
        <v>24</v>
      </c>
      <c r="K428" s="4">
        <v>1</v>
      </c>
      <c r="L428" s="5">
        <v>25</v>
      </c>
      <c r="M428" s="5">
        <f>K428 * L428</f>
        <v>25</v>
      </c>
      <c r="N428" s="5">
        <f>M428 * $Q$4</f>
        <v>0.375</v>
      </c>
      <c r="O428" s="5">
        <f>M428* $Q$5</f>
        <v>0.5</v>
      </c>
    </row>
    <row r="429" spans="1:15">
      <c r="A429" s="2">
        <v>428</v>
      </c>
      <c r="B429" s="4">
        <f t="shared" si="18"/>
        <v>10</v>
      </c>
      <c r="C429" s="4">
        <f t="shared" si="19"/>
        <v>10</v>
      </c>
      <c r="D429" s="4">
        <f t="shared" si="20"/>
        <v>2023</v>
      </c>
      <c r="E429" s="3">
        <v>45209</v>
      </c>
      <c r="F429" s="4" t="s">
        <v>454</v>
      </c>
      <c r="G429" s="4" t="s">
        <v>19</v>
      </c>
      <c r="H429" s="4" t="str" cm="1">
        <f t="array" ref="H429">_xlfn.IFS(I429&lt;30, "Young Adult", I429&gt;=50, "Senior", I429&gt;=30, "Adult")</f>
        <v>Adult</v>
      </c>
      <c r="I429" s="4">
        <v>40</v>
      </c>
      <c r="J429" s="4" t="s">
        <v>24</v>
      </c>
      <c r="K429" s="4">
        <v>4</v>
      </c>
      <c r="L429" s="5">
        <v>50</v>
      </c>
      <c r="M429" s="5">
        <f>K429 * L429</f>
        <v>200</v>
      </c>
      <c r="N429" s="5">
        <f>M429 * $Q$4</f>
        <v>3</v>
      </c>
      <c r="O429" s="5">
        <f>M429* $Q$5</f>
        <v>4</v>
      </c>
    </row>
    <row r="430" spans="1:15">
      <c r="A430" s="2">
        <v>429</v>
      </c>
      <c r="B430" s="4">
        <f t="shared" si="18"/>
        <v>28</v>
      </c>
      <c r="C430" s="4">
        <f t="shared" si="19"/>
        <v>12</v>
      </c>
      <c r="D430" s="4">
        <f t="shared" si="20"/>
        <v>2023</v>
      </c>
      <c r="E430" s="3">
        <v>45288</v>
      </c>
      <c r="F430" s="4" t="s">
        <v>455</v>
      </c>
      <c r="G430" s="4" t="s">
        <v>16</v>
      </c>
      <c r="H430" s="4" t="str" cm="1">
        <f t="array" ref="H430">_xlfn.IFS(I430&lt;30, "Young Adult", I430&gt;=50, "Senior", I430&gt;=30, "Adult")</f>
        <v>Senior</v>
      </c>
      <c r="I430" s="4">
        <v>64</v>
      </c>
      <c r="J430" s="4" t="s">
        <v>24</v>
      </c>
      <c r="K430" s="4">
        <v>2</v>
      </c>
      <c r="L430" s="5">
        <v>25</v>
      </c>
      <c r="M430" s="5">
        <f>K430 * L430</f>
        <v>50</v>
      </c>
      <c r="N430" s="5">
        <f>M430 * $Q$4</f>
        <v>0.75</v>
      </c>
      <c r="O430" s="5">
        <f>M430* $Q$5</f>
        <v>1</v>
      </c>
    </row>
    <row r="431" spans="1:15">
      <c r="A431" s="2">
        <v>430</v>
      </c>
      <c r="B431" s="4">
        <f t="shared" si="18"/>
        <v>7</v>
      </c>
      <c r="C431" s="4">
        <f t="shared" si="19"/>
        <v>8</v>
      </c>
      <c r="D431" s="4">
        <f t="shared" si="20"/>
        <v>2023</v>
      </c>
      <c r="E431" s="3">
        <v>45145</v>
      </c>
      <c r="F431" s="4" t="s">
        <v>456</v>
      </c>
      <c r="G431" s="4" t="s">
        <v>19</v>
      </c>
      <c r="H431" s="4" t="str" cm="1">
        <f t="array" ref="H431">_xlfn.IFS(I431&lt;30, "Young Adult", I431&gt;=50, "Senior", I431&gt;=30, "Adult")</f>
        <v>Adult</v>
      </c>
      <c r="I431" s="4">
        <v>43</v>
      </c>
      <c r="J431" s="4" t="s">
        <v>24</v>
      </c>
      <c r="K431" s="4">
        <v>3</v>
      </c>
      <c r="L431" s="5">
        <v>300</v>
      </c>
      <c r="M431" s="5">
        <f>K431 * L431</f>
        <v>900</v>
      </c>
      <c r="N431" s="5">
        <f>M431 * $Q$4</f>
        <v>13.5</v>
      </c>
      <c r="O431" s="5">
        <f>M431* $Q$5</f>
        <v>18</v>
      </c>
    </row>
    <row r="432" spans="1:15">
      <c r="A432" s="2">
        <v>431</v>
      </c>
      <c r="B432" s="4">
        <f t="shared" si="18"/>
        <v>15</v>
      </c>
      <c r="C432" s="4">
        <f t="shared" si="19"/>
        <v>10</v>
      </c>
      <c r="D432" s="4">
        <f t="shared" si="20"/>
        <v>2023</v>
      </c>
      <c r="E432" s="3">
        <v>45214</v>
      </c>
      <c r="F432" s="4" t="s">
        <v>457</v>
      </c>
      <c r="G432" s="4" t="s">
        <v>16</v>
      </c>
      <c r="H432" s="4" t="str" cm="1">
        <f t="array" ref="H432">_xlfn.IFS(I432&lt;30, "Young Adult", I432&gt;=50, "Senior", I432&gt;=30, "Adult")</f>
        <v>Senior</v>
      </c>
      <c r="I432" s="4">
        <v>63</v>
      </c>
      <c r="J432" s="4" t="s">
        <v>24</v>
      </c>
      <c r="K432" s="4">
        <v>4</v>
      </c>
      <c r="L432" s="5">
        <v>300</v>
      </c>
      <c r="M432" s="5">
        <f>K432 * L432</f>
        <v>1200</v>
      </c>
      <c r="N432" s="5">
        <f>M432 * $Q$4</f>
        <v>18</v>
      </c>
      <c r="O432" s="5">
        <f>M432* $Q$5</f>
        <v>24</v>
      </c>
    </row>
    <row r="433" spans="1:15">
      <c r="A433" s="2">
        <v>432</v>
      </c>
      <c r="B433" s="4">
        <f t="shared" si="18"/>
        <v>5</v>
      </c>
      <c r="C433" s="4">
        <f t="shared" si="19"/>
        <v>1</v>
      </c>
      <c r="D433" s="4">
        <f t="shared" si="20"/>
        <v>2023</v>
      </c>
      <c r="E433" s="3">
        <v>44931</v>
      </c>
      <c r="F433" s="4" t="s">
        <v>458</v>
      </c>
      <c r="G433" s="4" t="s">
        <v>19</v>
      </c>
      <c r="H433" s="4" t="str" cm="1">
        <f t="array" ref="H433">_xlfn.IFS(I433&lt;30, "Young Adult", I433&gt;=50, "Senior", I433&gt;=30, "Adult")</f>
        <v>Senior</v>
      </c>
      <c r="I433" s="4">
        <v>60</v>
      </c>
      <c r="J433" s="4" t="s">
        <v>24</v>
      </c>
      <c r="K433" s="4">
        <v>2</v>
      </c>
      <c r="L433" s="5">
        <v>500</v>
      </c>
      <c r="M433" s="5">
        <f>K433 * L433</f>
        <v>1000</v>
      </c>
      <c r="N433" s="5">
        <f>M433 * $Q$4</f>
        <v>15</v>
      </c>
      <c r="O433" s="5">
        <f>M433* $Q$5</f>
        <v>20</v>
      </c>
    </row>
    <row r="434" spans="1:15">
      <c r="A434" s="2">
        <v>433</v>
      </c>
      <c r="B434" s="4">
        <f t="shared" si="18"/>
        <v>27</v>
      </c>
      <c r="C434" s="4">
        <f t="shared" si="19"/>
        <v>2</v>
      </c>
      <c r="D434" s="4">
        <f t="shared" si="20"/>
        <v>2023</v>
      </c>
      <c r="E434" s="3">
        <v>44984</v>
      </c>
      <c r="F434" s="4" t="s">
        <v>459</v>
      </c>
      <c r="G434" s="4" t="s">
        <v>16</v>
      </c>
      <c r="H434" s="4" t="str" cm="1">
        <f t="array" ref="H434">_xlfn.IFS(I434&lt;30, "Young Adult", I434&gt;=50, "Senior", I434&gt;=30, "Adult")</f>
        <v>Young Adult</v>
      </c>
      <c r="I434" s="4">
        <v>29</v>
      </c>
      <c r="J434" s="4" t="s">
        <v>17</v>
      </c>
      <c r="K434" s="4">
        <v>4</v>
      </c>
      <c r="L434" s="5">
        <v>50</v>
      </c>
      <c r="M434" s="5">
        <f>K434 * L434</f>
        <v>200</v>
      </c>
      <c r="N434" s="5">
        <f>M434 * $Q$4</f>
        <v>3</v>
      </c>
      <c r="O434" s="5">
        <f>M434* $Q$5</f>
        <v>4</v>
      </c>
    </row>
    <row r="435" spans="1:15">
      <c r="A435" s="2">
        <v>434</v>
      </c>
      <c r="B435" s="4">
        <f t="shared" si="18"/>
        <v>8</v>
      </c>
      <c r="C435" s="4">
        <f t="shared" si="19"/>
        <v>2</v>
      </c>
      <c r="D435" s="4">
        <f t="shared" si="20"/>
        <v>2023</v>
      </c>
      <c r="E435" s="3">
        <v>44965</v>
      </c>
      <c r="F435" s="4" t="s">
        <v>460</v>
      </c>
      <c r="G435" s="4" t="s">
        <v>19</v>
      </c>
      <c r="H435" s="4" t="str" cm="1">
        <f t="array" ref="H435">_xlfn.IFS(I435&lt;30, "Young Adult", I435&gt;=50, "Senior", I435&gt;=30, "Adult")</f>
        <v>Adult</v>
      </c>
      <c r="I435" s="4">
        <v>43</v>
      </c>
      <c r="J435" s="4" t="s">
        <v>24</v>
      </c>
      <c r="K435" s="4">
        <v>2</v>
      </c>
      <c r="L435" s="5">
        <v>25</v>
      </c>
      <c r="M435" s="5">
        <f>K435 * L435</f>
        <v>50</v>
      </c>
      <c r="N435" s="5">
        <f>M435 * $Q$4</f>
        <v>0.75</v>
      </c>
      <c r="O435" s="5">
        <f>M435* $Q$5</f>
        <v>1</v>
      </c>
    </row>
    <row r="436" spans="1:15">
      <c r="A436" s="2">
        <v>435</v>
      </c>
      <c r="B436" s="4">
        <f t="shared" si="18"/>
        <v>20</v>
      </c>
      <c r="C436" s="4">
        <f t="shared" si="19"/>
        <v>12</v>
      </c>
      <c r="D436" s="4">
        <f t="shared" si="20"/>
        <v>2023</v>
      </c>
      <c r="E436" s="3">
        <v>45280</v>
      </c>
      <c r="F436" s="4" t="s">
        <v>461</v>
      </c>
      <c r="G436" s="4" t="s">
        <v>19</v>
      </c>
      <c r="H436" s="4" t="str" cm="1">
        <f t="array" ref="H436">_xlfn.IFS(I436&lt;30, "Young Adult", I436&gt;=50, "Senior", I436&gt;=30, "Adult")</f>
        <v>Adult</v>
      </c>
      <c r="I436" s="4">
        <v>30</v>
      </c>
      <c r="J436" s="4" t="s">
        <v>17</v>
      </c>
      <c r="K436" s="4">
        <v>3</v>
      </c>
      <c r="L436" s="5">
        <v>300</v>
      </c>
      <c r="M436" s="5">
        <f>K436 * L436</f>
        <v>900</v>
      </c>
      <c r="N436" s="5">
        <f>M436 * $Q$4</f>
        <v>13.5</v>
      </c>
      <c r="O436" s="5">
        <f>M436* $Q$5</f>
        <v>18</v>
      </c>
    </row>
    <row r="437" spans="1:15">
      <c r="A437" s="2">
        <v>436</v>
      </c>
      <c r="B437" s="4">
        <f t="shared" si="18"/>
        <v>18</v>
      </c>
      <c r="C437" s="4">
        <f t="shared" si="19"/>
        <v>3</v>
      </c>
      <c r="D437" s="4">
        <f t="shared" si="20"/>
        <v>2023</v>
      </c>
      <c r="E437" s="3">
        <v>45003</v>
      </c>
      <c r="F437" s="4" t="s">
        <v>462</v>
      </c>
      <c r="G437" s="4" t="s">
        <v>19</v>
      </c>
      <c r="H437" s="4" t="str" cm="1">
        <f t="array" ref="H437">_xlfn.IFS(I437&lt;30, "Young Adult", I437&gt;=50, "Senior", I437&gt;=30, "Adult")</f>
        <v>Senior</v>
      </c>
      <c r="I437" s="4">
        <v>57</v>
      </c>
      <c r="J437" s="4" t="s">
        <v>20</v>
      </c>
      <c r="K437" s="4">
        <v>4</v>
      </c>
      <c r="L437" s="5">
        <v>30</v>
      </c>
      <c r="M437" s="5">
        <f>K437 * L437</f>
        <v>120</v>
      </c>
      <c r="N437" s="5">
        <f>M437 * $Q$4</f>
        <v>1.7999999999999998</v>
      </c>
      <c r="O437" s="5">
        <f>M437* $Q$5</f>
        <v>2.4</v>
      </c>
    </row>
    <row r="438" spans="1:15">
      <c r="A438" s="2">
        <v>437</v>
      </c>
      <c r="B438" s="4">
        <f t="shared" si="18"/>
        <v>7</v>
      </c>
      <c r="C438" s="4">
        <f t="shared" si="19"/>
        <v>10</v>
      </c>
      <c r="D438" s="4">
        <f t="shared" si="20"/>
        <v>2023</v>
      </c>
      <c r="E438" s="3">
        <v>45206</v>
      </c>
      <c r="F438" s="4" t="s">
        <v>463</v>
      </c>
      <c r="G438" s="4" t="s">
        <v>19</v>
      </c>
      <c r="H438" s="4" t="str" cm="1">
        <f t="array" ref="H438">_xlfn.IFS(I438&lt;30, "Young Adult", I438&gt;=50, "Senior", I438&gt;=30, "Adult")</f>
        <v>Adult</v>
      </c>
      <c r="I438" s="4">
        <v>35</v>
      </c>
      <c r="J438" s="4" t="s">
        <v>24</v>
      </c>
      <c r="K438" s="4">
        <v>4</v>
      </c>
      <c r="L438" s="5">
        <v>300</v>
      </c>
      <c r="M438" s="5">
        <f>K438 * L438</f>
        <v>1200</v>
      </c>
      <c r="N438" s="5">
        <f>M438 * $Q$4</f>
        <v>18</v>
      </c>
      <c r="O438" s="5">
        <f>M438* $Q$5</f>
        <v>24</v>
      </c>
    </row>
    <row r="439" spans="1:15">
      <c r="A439" s="2">
        <v>438</v>
      </c>
      <c r="B439" s="4">
        <f t="shared" si="18"/>
        <v>19</v>
      </c>
      <c r="C439" s="4">
        <f t="shared" si="19"/>
        <v>1</v>
      </c>
      <c r="D439" s="4">
        <f t="shared" si="20"/>
        <v>2023</v>
      </c>
      <c r="E439" s="3">
        <v>44945</v>
      </c>
      <c r="F439" s="4" t="s">
        <v>464</v>
      </c>
      <c r="G439" s="4" t="s">
        <v>19</v>
      </c>
      <c r="H439" s="4" t="str" cm="1">
        <f t="array" ref="H439">_xlfn.IFS(I439&lt;30, "Young Adult", I439&gt;=50, "Senior", I439&gt;=30, "Adult")</f>
        <v>Adult</v>
      </c>
      <c r="I439" s="4">
        <v>42</v>
      </c>
      <c r="J439" s="4" t="s">
        <v>20</v>
      </c>
      <c r="K439" s="4">
        <v>1</v>
      </c>
      <c r="L439" s="5">
        <v>30</v>
      </c>
      <c r="M439" s="5">
        <f>K439 * L439</f>
        <v>30</v>
      </c>
      <c r="N439" s="5">
        <f>M439 * $Q$4</f>
        <v>0.44999999999999996</v>
      </c>
      <c r="O439" s="5">
        <f>M439* $Q$5</f>
        <v>0.6</v>
      </c>
    </row>
    <row r="440" spans="1:15">
      <c r="A440" s="2">
        <v>439</v>
      </c>
      <c r="B440" s="4">
        <f t="shared" si="18"/>
        <v>9</v>
      </c>
      <c r="C440" s="4">
        <f t="shared" si="19"/>
        <v>7</v>
      </c>
      <c r="D440" s="4">
        <f t="shared" si="20"/>
        <v>2023</v>
      </c>
      <c r="E440" s="3">
        <v>45116</v>
      </c>
      <c r="F440" s="4" t="s">
        <v>465</v>
      </c>
      <c r="G440" s="4" t="s">
        <v>16</v>
      </c>
      <c r="H440" s="4" t="str" cm="1">
        <f t="array" ref="H440">_xlfn.IFS(I440&lt;30, "Young Adult", I440&gt;=50, "Senior", I440&gt;=30, "Adult")</f>
        <v>Senior</v>
      </c>
      <c r="I440" s="4">
        <v>50</v>
      </c>
      <c r="J440" s="4" t="s">
        <v>20</v>
      </c>
      <c r="K440" s="4">
        <v>3</v>
      </c>
      <c r="L440" s="5">
        <v>25</v>
      </c>
      <c r="M440" s="5">
        <f>K440 * L440</f>
        <v>75</v>
      </c>
      <c r="N440" s="5">
        <f>M440 * $Q$4</f>
        <v>1.125</v>
      </c>
      <c r="O440" s="5">
        <f>M440* $Q$5</f>
        <v>1.5</v>
      </c>
    </row>
    <row r="441" spans="1:15">
      <c r="A441" s="2">
        <v>440</v>
      </c>
      <c r="B441" s="4">
        <f t="shared" si="18"/>
        <v>26</v>
      </c>
      <c r="C441" s="4">
        <f t="shared" si="19"/>
        <v>10</v>
      </c>
      <c r="D441" s="4">
        <f t="shared" si="20"/>
        <v>2023</v>
      </c>
      <c r="E441" s="3">
        <v>45225</v>
      </c>
      <c r="F441" s="4" t="s">
        <v>466</v>
      </c>
      <c r="G441" s="4" t="s">
        <v>16</v>
      </c>
      <c r="H441" s="4" t="str" cm="1">
        <f t="array" ref="H441">_xlfn.IFS(I441&lt;30, "Young Adult", I441&gt;=50, "Senior", I441&gt;=30, "Adult")</f>
        <v>Senior</v>
      </c>
      <c r="I441" s="4">
        <v>64</v>
      </c>
      <c r="J441" s="4" t="s">
        <v>20</v>
      </c>
      <c r="K441" s="4">
        <v>2</v>
      </c>
      <c r="L441" s="5">
        <v>300</v>
      </c>
      <c r="M441" s="5">
        <f>K441 * L441</f>
        <v>600</v>
      </c>
      <c r="N441" s="5">
        <f>M441 * $Q$4</f>
        <v>9</v>
      </c>
      <c r="O441" s="5">
        <f>M441* $Q$5</f>
        <v>12</v>
      </c>
    </row>
    <row r="442" spans="1:15">
      <c r="A442" s="2">
        <v>441</v>
      </c>
      <c r="B442" s="4">
        <f t="shared" si="18"/>
        <v>10</v>
      </c>
      <c r="C442" s="4">
        <f t="shared" si="19"/>
        <v>10</v>
      </c>
      <c r="D442" s="4">
        <f t="shared" si="20"/>
        <v>2023</v>
      </c>
      <c r="E442" s="3">
        <v>45209</v>
      </c>
      <c r="F442" s="4" t="s">
        <v>467</v>
      </c>
      <c r="G442" s="4" t="s">
        <v>16</v>
      </c>
      <c r="H442" s="4" t="str" cm="1">
        <f t="array" ref="H442">_xlfn.IFS(I442&lt;30, "Young Adult", I442&gt;=50, "Senior", I442&gt;=30, "Adult")</f>
        <v>Senior</v>
      </c>
      <c r="I442" s="4">
        <v>57</v>
      </c>
      <c r="J442" s="4" t="s">
        <v>17</v>
      </c>
      <c r="K442" s="4">
        <v>4</v>
      </c>
      <c r="L442" s="5">
        <v>300</v>
      </c>
      <c r="M442" s="5">
        <f>K442 * L442</f>
        <v>1200</v>
      </c>
      <c r="N442" s="5">
        <f>M442 * $Q$4</f>
        <v>18</v>
      </c>
      <c r="O442" s="5">
        <f>M442* $Q$5</f>
        <v>24</v>
      </c>
    </row>
    <row r="443" spans="1:15">
      <c r="A443" s="2">
        <v>442</v>
      </c>
      <c r="B443" s="4">
        <f t="shared" si="18"/>
        <v>17</v>
      </c>
      <c r="C443" s="4">
        <f t="shared" si="19"/>
        <v>3</v>
      </c>
      <c r="D443" s="4">
        <f t="shared" si="20"/>
        <v>2023</v>
      </c>
      <c r="E443" s="3">
        <v>45002</v>
      </c>
      <c r="F443" s="4" t="s">
        <v>468</v>
      </c>
      <c r="G443" s="4" t="s">
        <v>19</v>
      </c>
      <c r="H443" s="4" t="str" cm="1">
        <f t="array" ref="H443">_xlfn.IFS(I443&lt;30, "Young Adult", I443&gt;=50, "Senior", I443&gt;=30, "Adult")</f>
        <v>Senior</v>
      </c>
      <c r="I443" s="4">
        <v>60</v>
      </c>
      <c r="J443" s="4" t="s">
        <v>20</v>
      </c>
      <c r="K443" s="4">
        <v>4</v>
      </c>
      <c r="L443" s="5">
        <v>25</v>
      </c>
      <c r="M443" s="5">
        <f>K443 * L443</f>
        <v>100</v>
      </c>
      <c r="N443" s="5">
        <f>M443 * $Q$4</f>
        <v>1.5</v>
      </c>
      <c r="O443" s="5">
        <f>M443* $Q$5</f>
        <v>2</v>
      </c>
    </row>
    <row r="444" spans="1:15">
      <c r="A444" s="2">
        <v>443</v>
      </c>
      <c r="B444" s="4">
        <f t="shared" si="18"/>
        <v>9</v>
      </c>
      <c r="C444" s="4">
        <f t="shared" si="19"/>
        <v>8</v>
      </c>
      <c r="D444" s="4">
        <f t="shared" si="20"/>
        <v>2023</v>
      </c>
      <c r="E444" s="3">
        <v>45147</v>
      </c>
      <c r="F444" s="4" t="s">
        <v>469</v>
      </c>
      <c r="G444" s="4" t="s">
        <v>16</v>
      </c>
      <c r="H444" s="4" t="str" cm="1">
        <f t="array" ref="H444">_xlfn.IFS(I444&lt;30, "Young Adult", I444&gt;=50, "Senior", I444&gt;=30, "Adult")</f>
        <v>Young Adult</v>
      </c>
      <c r="I444" s="4">
        <v>29</v>
      </c>
      <c r="J444" s="4" t="s">
        <v>20</v>
      </c>
      <c r="K444" s="4">
        <v>2</v>
      </c>
      <c r="L444" s="5">
        <v>300</v>
      </c>
      <c r="M444" s="5">
        <f>K444 * L444</f>
        <v>600</v>
      </c>
      <c r="N444" s="5">
        <f>M444 * $Q$4</f>
        <v>9</v>
      </c>
      <c r="O444" s="5">
        <f>M444* $Q$5</f>
        <v>12</v>
      </c>
    </row>
    <row r="445" spans="1:15">
      <c r="A445" s="2">
        <v>444</v>
      </c>
      <c r="B445" s="4">
        <f t="shared" si="18"/>
        <v>7</v>
      </c>
      <c r="C445" s="4">
        <f t="shared" si="19"/>
        <v>3</v>
      </c>
      <c r="D445" s="4">
        <f t="shared" si="20"/>
        <v>2023</v>
      </c>
      <c r="E445" s="3">
        <v>44992</v>
      </c>
      <c r="F445" s="4" t="s">
        <v>470</v>
      </c>
      <c r="G445" s="4" t="s">
        <v>19</v>
      </c>
      <c r="H445" s="4" t="str" cm="1">
        <f t="array" ref="H445">_xlfn.IFS(I445&lt;30, "Young Adult", I445&gt;=50, "Senior", I445&gt;=30, "Adult")</f>
        <v>Senior</v>
      </c>
      <c r="I445" s="4">
        <v>61</v>
      </c>
      <c r="J445" s="4" t="s">
        <v>20</v>
      </c>
      <c r="K445" s="4">
        <v>3</v>
      </c>
      <c r="L445" s="5">
        <v>30</v>
      </c>
      <c r="M445" s="5">
        <f>K445 * L445</f>
        <v>90</v>
      </c>
      <c r="N445" s="5">
        <f>M445 * $Q$4</f>
        <v>1.3499999999999999</v>
      </c>
      <c r="O445" s="5">
        <f>M445* $Q$5</f>
        <v>1.8</v>
      </c>
    </row>
    <row r="446" spans="1:15">
      <c r="A446" s="2">
        <v>445</v>
      </c>
      <c r="B446" s="4">
        <f t="shared" si="18"/>
        <v>22</v>
      </c>
      <c r="C446" s="4">
        <f t="shared" si="19"/>
        <v>1</v>
      </c>
      <c r="D446" s="4">
        <f t="shared" si="20"/>
        <v>2023</v>
      </c>
      <c r="E446" s="3">
        <v>44948</v>
      </c>
      <c r="F446" s="4" t="s">
        <v>471</v>
      </c>
      <c r="G446" s="4" t="s">
        <v>19</v>
      </c>
      <c r="H446" s="4" t="str" cm="1">
        <f t="array" ref="H446">_xlfn.IFS(I446&lt;30, "Young Adult", I446&gt;=50, "Senior", I446&gt;=30, "Adult")</f>
        <v>Senior</v>
      </c>
      <c r="I446" s="4">
        <v>53</v>
      </c>
      <c r="J446" s="4" t="s">
        <v>24</v>
      </c>
      <c r="K446" s="4">
        <v>1</v>
      </c>
      <c r="L446" s="5">
        <v>300</v>
      </c>
      <c r="M446" s="5">
        <f>K446 * L446</f>
        <v>300</v>
      </c>
      <c r="N446" s="5">
        <f>M446 * $Q$4</f>
        <v>4.5</v>
      </c>
      <c r="O446" s="5">
        <f>M446* $Q$5</f>
        <v>6</v>
      </c>
    </row>
    <row r="447" spans="1:15">
      <c r="A447" s="2">
        <v>446</v>
      </c>
      <c r="B447" s="4">
        <f t="shared" si="18"/>
        <v>7</v>
      </c>
      <c r="C447" s="4">
        <f t="shared" si="19"/>
        <v>6</v>
      </c>
      <c r="D447" s="4">
        <f t="shared" si="20"/>
        <v>2023</v>
      </c>
      <c r="E447" s="3">
        <v>45084</v>
      </c>
      <c r="F447" s="4" t="s">
        <v>472</v>
      </c>
      <c r="G447" s="4" t="s">
        <v>16</v>
      </c>
      <c r="H447" s="4" t="str" cm="1">
        <f t="array" ref="H447">_xlfn.IFS(I447&lt;30, "Young Adult", I447&gt;=50, "Senior", I447&gt;=30, "Adult")</f>
        <v>Young Adult</v>
      </c>
      <c r="I447" s="4">
        <v>21</v>
      </c>
      <c r="J447" s="4" t="s">
        <v>24</v>
      </c>
      <c r="K447" s="4">
        <v>1</v>
      </c>
      <c r="L447" s="5">
        <v>50</v>
      </c>
      <c r="M447" s="5">
        <f>K447 * L447</f>
        <v>50</v>
      </c>
      <c r="N447" s="5">
        <f>M447 * $Q$4</f>
        <v>0.75</v>
      </c>
      <c r="O447" s="5">
        <f>M447* $Q$5</f>
        <v>1</v>
      </c>
    </row>
    <row r="448" spans="1:15">
      <c r="A448" s="2">
        <v>447</v>
      </c>
      <c r="B448" s="4">
        <f t="shared" si="18"/>
        <v>6</v>
      </c>
      <c r="C448" s="4">
        <f t="shared" si="19"/>
        <v>7</v>
      </c>
      <c r="D448" s="4">
        <f t="shared" si="20"/>
        <v>2023</v>
      </c>
      <c r="E448" s="3">
        <v>45113</v>
      </c>
      <c r="F448" s="4" t="s">
        <v>473</v>
      </c>
      <c r="G448" s="4" t="s">
        <v>16</v>
      </c>
      <c r="H448" s="4" t="str" cm="1">
        <f t="array" ref="H448">_xlfn.IFS(I448&lt;30, "Young Adult", I448&gt;=50, "Senior", I448&gt;=30, "Adult")</f>
        <v>Young Adult</v>
      </c>
      <c r="I448" s="4">
        <v>22</v>
      </c>
      <c r="J448" s="4" t="s">
        <v>17</v>
      </c>
      <c r="K448" s="4">
        <v>4</v>
      </c>
      <c r="L448" s="5">
        <v>500</v>
      </c>
      <c r="M448" s="5">
        <f>K448 * L448</f>
        <v>2000</v>
      </c>
      <c r="N448" s="5">
        <f>M448 * $Q$4</f>
        <v>30</v>
      </c>
      <c r="O448" s="5">
        <f>M448* $Q$5</f>
        <v>40</v>
      </c>
    </row>
    <row r="449" spans="1:15">
      <c r="A449" s="2">
        <v>448</v>
      </c>
      <c r="B449" s="4">
        <f t="shared" si="18"/>
        <v>21</v>
      </c>
      <c r="C449" s="4">
        <f t="shared" si="19"/>
        <v>1</v>
      </c>
      <c r="D449" s="4">
        <f t="shared" si="20"/>
        <v>2023</v>
      </c>
      <c r="E449" s="3">
        <v>44947</v>
      </c>
      <c r="F449" s="4" t="s">
        <v>474</v>
      </c>
      <c r="G449" s="4" t="s">
        <v>19</v>
      </c>
      <c r="H449" s="4" t="str" cm="1">
        <f t="array" ref="H449">_xlfn.IFS(I449&lt;30, "Young Adult", I449&gt;=50, "Senior", I449&gt;=30, "Adult")</f>
        <v>Senior</v>
      </c>
      <c r="I449" s="4">
        <v>54</v>
      </c>
      <c r="J449" s="4" t="s">
        <v>17</v>
      </c>
      <c r="K449" s="4">
        <v>2</v>
      </c>
      <c r="L449" s="5">
        <v>30</v>
      </c>
      <c r="M449" s="5">
        <f>K449 * L449</f>
        <v>60</v>
      </c>
      <c r="N449" s="5">
        <f>M449 * $Q$4</f>
        <v>0.89999999999999991</v>
      </c>
      <c r="O449" s="5">
        <f>M449* $Q$5</f>
        <v>1.2</v>
      </c>
    </row>
    <row r="450" spans="1:15">
      <c r="A450" s="2">
        <v>449</v>
      </c>
      <c r="B450" s="4">
        <f t="shared" si="18"/>
        <v>3</v>
      </c>
      <c r="C450" s="4">
        <f t="shared" si="19"/>
        <v>7</v>
      </c>
      <c r="D450" s="4">
        <f t="shared" si="20"/>
        <v>2023</v>
      </c>
      <c r="E450" s="3">
        <v>45110</v>
      </c>
      <c r="F450" s="4" t="s">
        <v>475</v>
      </c>
      <c r="G450" s="4" t="s">
        <v>16</v>
      </c>
      <c r="H450" s="4" t="str" cm="1">
        <f t="array" ref="H450">_xlfn.IFS(I450&lt;30, "Young Adult", I450&gt;=50, "Senior", I450&gt;=30, "Adult")</f>
        <v>Young Adult</v>
      </c>
      <c r="I450" s="4">
        <v>25</v>
      </c>
      <c r="J450" s="4" t="s">
        <v>24</v>
      </c>
      <c r="K450" s="4">
        <v>4</v>
      </c>
      <c r="L450" s="5">
        <v>50</v>
      </c>
      <c r="M450" s="5">
        <f>K450 * L450</f>
        <v>200</v>
      </c>
      <c r="N450" s="5">
        <f>M450 * $Q$4</f>
        <v>3</v>
      </c>
      <c r="O450" s="5">
        <f>M450* $Q$5</f>
        <v>4</v>
      </c>
    </row>
    <row r="451" spans="1:15">
      <c r="A451" s="2">
        <v>450</v>
      </c>
      <c r="B451" s="4">
        <f t="shared" ref="B451:B514" si="21">DAY(E451)</f>
        <v>18</v>
      </c>
      <c r="C451" s="4">
        <f t="shared" ref="C451:C514" si="22">MONTH(E451)</f>
        <v>4</v>
      </c>
      <c r="D451" s="4">
        <f t="shared" ref="D451:D514" si="23">YEAR(E451)</f>
        <v>2023</v>
      </c>
      <c r="E451" s="3">
        <v>45034</v>
      </c>
      <c r="F451" s="4" t="s">
        <v>476</v>
      </c>
      <c r="G451" s="4" t="s">
        <v>19</v>
      </c>
      <c r="H451" s="4" t="str" cm="1">
        <f t="array" ref="H451">_xlfn.IFS(I451&lt;30, "Young Adult", I451&gt;=50, "Senior", I451&gt;=30, "Adult")</f>
        <v>Senior</v>
      </c>
      <c r="I451" s="4">
        <v>59</v>
      </c>
      <c r="J451" s="4" t="s">
        <v>17</v>
      </c>
      <c r="K451" s="4">
        <v>2</v>
      </c>
      <c r="L451" s="5">
        <v>25</v>
      </c>
      <c r="M451" s="5">
        <f>K451 * L451</f>
        <v>50</v>
      </c>
      <c r="N451" s="5">
        <f>M451 * $Q$4</f>
        <v>0.75</v>
      </c>
      <c r="O451" s="5">
        <f>M451* $Q$5</f>
        <v>1</v>
      </c>
    </row>
    <row r="452" spans="1:15">
      <c r="A452" s="2">
        <v>451</v>
      </c>
      <c r="B452" s="4">
        <f t="shared" si="21"/>
        <v>16</v>
      </c>
      <c r="C452" s="4">
        <f t="shared" si="22"/>
        <v>12</v>
      </c>
      <c r="D452" s="4">
        <f t="shared" si="23"/>
        <v>2023</v>
      </c>
      <c r="E452" s="3">
        <v>45276</v>
      </c>
      <c r="F452" s="4" t="s">
        <v>477</v>
      </c>
      <c r="G452" s="4" t="s">
        <v>19</v>
      </c>
      <c r="H452" s="4" t="str" cm="1">
        <f t="array" ref="H452">_xlfn.IFS(I452&lt;30, "Young Adult", I452&gt;=50, "Senior", I452&gt;=30, "Adult")</f>
        <v>Adult</v>
      </c>
      <c r="I452" s="4">
        <v>45</v>
      </c>
      <c r="J452" s="4" t="s">
        <v>24</v>
      </c>
      <c r="K452" s="4">
        <v>1</v>
      </c>
      <c r="L452" s="5">
        <v>30</v>
      </c>
      <c r="M452" s="5">
        <f>K452 * L452</f>
        <v>30</v>
      </c>
      <c r="N452" s="5">
        <f>M452 * $Q$4</f>
        <v>0.44999999999999996</v>
      </c>
      <c r="O452" s="5">
        <f>M452* $Q$5</f>
        <v>0.6</v>
      </c>
    </row>
    <row r="453" spans="1:15">
      <c r="A453" s="2">
        <v>452</v>
      </c>
      <c r="B453" s="4">
        <f t="shared" si="21"/>
        <v>8</v>
      </c>
      <c r="C453" s="4">
        <f t="shared" si="22"/>
        <v>5</v>
      </c>
      <c r="D453" s="4">
        <f t="shared" si="23"/>
        <v>2023</v>
      </c>
      <c r="E453" s="3">
        <v>45054</v>
      </c>
      <c r="F453" s="4" t="s">
        <v>478</v>
      </c>
      <c r="G453" s="4" t="s">
        <v>19</v>
      </c>
      <c r="H453" s="4" t="str" cm="1">
        <f t="array" ref="H453">_xlfn.IFS(I453&lt;30, "Young Adult", I453&gt;=50, "Senior", I453&gt;=30, "Adult")</f>
        <v>Adult</v>
      </c>
      <c r="I453" s="4">
        <v>48</v>
      </c>
      <c r="J453" s="4" t="s">
        <v>20</v>
      </c>
      <c r="K453" s="4">
        <v>3</v>
      </c>
      <c r="L453" s="5">
        <v>500</v>
      </c>
      <c r="M453" s="5">
        <f>K453 * L453</f>
        <v>1500</v>
      </c>
      <c r="N453" s="5">
        <f>M453 * $Q$4</f>
        <v>22.5</v>
      </c>
      <c r="O453" s="5">
        <f>M453* $Q$5</f>
        <v>30</v>
      </c>
    </row>
    <row r="454" spans="1:15">
      <c r="A454" s="2">
        <v>453</v>
      </c>
      <c r="B454" s="4">
        <f t="shared" si="21"/>
        <v>8</v>
      </c>
      <c r="C454" s="4">
        <f t="shared" si="22"/>
        <v>12</v>
      </c>
      <c r="D454" s="4">
        <f t="shared" si="23"/>
        <v>2023</v>
      </c>
      <c r="E454" s="3">
        <v>45268</v>
      </c>
      <c r="F454" s="4" t="s">
        <v>479</v>
      </c>
      <c r="G454" s="4" t="s">
        <v>19</v>
      </c>
      <c r="H454" s="4" t="str" cm="1">
        <f t="array" ref="H454">_xlfn.IFS(I454&lt;30, "Young Adult", I454&gt;=50, "Senior", I454&gt;=30, "Adult")</f>
        <v>Young Adult</v>
      </c>
      <c r="I454" s="4">
        <v>26</v>
      </c>
      <c r="J454" s="4" t="s">
        <v>20</v>
      </c>
      <c r="K454" s="4">
        <v>2</v>
      </c>
      <c r="L454" s="5">
        <v>500</v>
      </c>
      <c r="M454" s="5">
        <f>K454 * L454</f>
        <v>1000</v>
      </c>
      <c r="N454" s="5">
        <f>M454 * $Q$4</f>
        <v>15</v>
      </c>
      <c r="O454" s="5">
        <f>M454* $Q$5</f>
        <v>20</v>
      </c>
    </row>
    <row r="455" spans="1:15">
      <c r="A455" s="2">
        <v>454</v>
      </c>
      <c r="B455" s="4">
        <f t="shared" si="21"/>
        <v>22</v>
      </c>
      <c r="C455" s="4">
        <f t="shared" si="22"/>
        <v>2</v>
      </c>
      <c r="D455" s="4">
        <f t="shared" si="23"/>
        <v>2023</v>
      </c>
      <c r="E455" s="3">
        <v>44979</v>
      </c>
      <c r="F455" s="4" t="s">
        <v>480</v>
      </c>
      <c r="G455" s="4" t="s">
        <v>19</v>
      </c>
      <c r="H455" s="4" t="str" cm="1">
        <f t="array" ref="H455">_xlfn.IFS(I455&lt;30, "Young Adult", I455&gt;=50, "Senior", I455&gt;=30, "Adult")</f>
        <v>Adult</v>
      </c>
      <c r="I455" s="4">
        <v>46</v>
      </c>
      <c r="J455" s="4" t="s">
        <v>17</v>
      </c>
      <c r="K455" s="4">
        <v>1</v>
      </c>
      <c r="L455" s="5">
        <v>25</v>
      </c>
      <c r="M455" s="5">
        <f>K455 * L455</f>
        <v>25</v>
      </c>
      <c r="N455" s="5">
        <f>M455 * $Q$4</f>
        <v>0.375</v>
      </c>
      <c r="O455" s="5">
        <f>M455* $Q$5</f>
        <v>0.5</v>
      </c>
    </row>
    <row r="456" spans="1:15">
      <c r="A456" s="2">
        <v>455</v>
      </c>
      <c r="B456" s="4">
        <f t="shared" si="21"/>
        <v>1</v>
      </c>
      <c r="C456" s="4">
        <f t="shared" si="22"/>
        <v>7</v>
      </c>
      <c r="D456" s="4">
        <f t="shared" si="23"/>
        <v>2023</v>
      </c>
      <c r="E456" s="3">
        <v>45108</v>
      </c>
      <c r="F456" s="4" t="s">
        <v>481</v>
      </c>
      <c r="G456" s="4" t="s">
        <v>16</v>
      </c>
      <c r="H456" s="4" t="str" cm="1">
        <f t="array" ref="H456">_xlfn.IFS(I456&lt;30, "Young Adult", I456&gt;=50, "Senior", I456&gt;=30, "Adult")</f>
        <v>Adult</v>
      </c>
      <c r="I456" s="4">
        <v>31</v>
      </c>
      <c r="J456" s="4" t="s">
        <v>24</v>
      </c>
      <c r="K456" s="4">
        <v>4</v>
      </c>
      <c r="L456" s="5">
        <v>25</v>
      </c>
      <c r="M456" s="5">
        <f>K456 * L456</f>
        <v>100</v>
      </c>
      <c r="N456" s="5">
        <f>M456 * $Q$4</f>
        <v>1.5</v>
      </c>
      <c r="O456" s="5">
        <f>M456* $Q$5</f>
        <v>2</v>
      </c>
    </row>
    <row r="457" spans="1:15">
      <c r="A457" s="2">
        <v>456</v>
      </c>
      <c r="B457" s="4">
        <f t="shared" si="21"/>
        <v>14</v>
      </c>
      <c r="C457" s="4">
        <f t="shared" si="22"/>
        <v>10</v>
      </c>
      <c r="D457" s="4">
        <f t="shared" si="23"/>
        <v>2023</v>
      </c>
      <c r="E457" s="3">
        <v>45213</v>
      </c>
      <c r="F457" s="4" t="s">
        <v>482</v>
      </c>
      <c r="G457" s="4" t="s">
        <v>16</v>
      </c>
      <c r="H457" s="4" t="str" cm="1">
        <f t="array" ref="H457">_xlfn.IFS(I457&lt;30, "Young Adult", I457&gt;=50, "Senior", I457&gt;=30, "Adult")</f>
        <v>Senior</v>
      </c>
      <c r="I457" s="4">
        <v>57</v>
      </c>
      <c r="J457" s="4" t="s">
        <v>24</v>
      </c>
      <c r="K457" s="4">
        <v>2</v>
      </c>
      <c r="L457" s="5">
        <v>30</v>
      </c>
      <c r="M457" s="5">
        <f>K457 * L457</f>
        <v>60</v>
      </c>
      <c r="N457" s="5">
        <f>M457 * $Q$4</f>
        <v>0.89999999999999991</v>
      </c>
      <c r="O457" s="5">
        <f>M457* $Q$5</f>
        <v>1.2</v>
      </c>
    </row>
    <row r="458" spans="1:15">
      <c r="A458" s="2">
        <v>457</v>
      </c>
      <c r="B458" s="4">
        <f t="shared" si="21"/>
        <v>28</v>
      </c>
      <c r="C458" s="4">
        <f t="shared" si="22"/>
        <v>7</v>
      </c>
      <c r="D458" s="4">
        <f t="shared" si="23"/>
        <v>2023</v>
      </c>
      <c r="E458" s="3">
        <v>45135</v>
      </c>
      <c r="F458" s="4" t="s">
        <v>483</v>
      </c>
      <c r="G458" s="4" t="s">
        <v>19</v>
      </c>
      <c r="H458" s="4" t="str" cm="1">
        <f t="array" ref="H458">_xlfn.IFS(I458&lt;30, "Young Adult", I458&gt;=50, "Senior", I458&gt;=30, "Adult")</f>
        <v>Senior</v>
      </c>
      <c r="I458" s="4">
        <v>58</v>
      </c>
      <c r="J458" s="4" t="s">
        <v>17</v>
      </c>
      <c r="K458" s="4">
        <v>3</v>
      </c>
      <c r="L458" s="5">
        <v>300</v>
      </c>
      <c r="M458" s="5">
        <f>K458 * L458</f>
        <v>900</v>
      </c>
      <c r="N458" s="5">
        <f>M458 * $Q$4</f>
        <v>13.5</v>
      </c>
      <c r="O458" s="5">
        <f>M458* $Q$5</f>
        <v>18</v>
      </c>
    </row>
    <row r="459" spans="1:15">
      <c r="A459" s="2">
        <v>458</v>
      </c>
      <c r="B459" s="4">
        <f t="shared" si="21"/>
        <v>14</v>
      </c>
      <c r="C459" s="4">
        <f t="shared" si="22"/>
        <v>11</v>
      </c>
      <c r="D459" s="4">
        <f t="shared" si="23"/>
        <v>2023</v>
      </c>
      <c r="E459" s="3">
        <v>45244</v>
      </c>
      <c r="F459" s="4" t="s">
        <v>484</v>
      </c>
      <c r="G459" s="4" t="s">
        <v>19</v>
      </c>
      <c r="H459" s="4" t="str" cm="1">
        <f t="array" ref="H459">_xlfn.IFS(I459&lt;30, "Young Adult", I459&gt;=50, "Senior", I459&gt;=30, "Adult")</f>
        <v>Adult</v>
      </c>
      <c r="I459" s="4">
        <v>39</v>
      </c>
      <c r="J459" s="4" t="s">
        <v>24</v>
      </c>
      <c r="K459" s="4">
        <v>4</v>
      </c>
      <c r="L459" s="5">
        <v>25</v>
      </c>
      <c r="M459" s="5">
        <f>K459 * L459</f>
        <v>100</v>
      </c>
      <c r="N459" s="5">
        <f>M459 * $Q$4</f>
        <v>1.5</v>
      </c>
      <c r="O459" s="5">
        <f>M459* $Q$5</f>
        <v>2</v>
      </c>
    </row>
    <row r="460" spans="1:15">
      <c r="A460" s="2">
        <v>459</v>
      </c>
      <c r="B460" s="4">
        <f t="shared" si="21"/>
        <v>21</v>
      </c>
      <c r="C460" s="4">
        <f t="shared" si="22"/>
        <v>3</v>
      </c>
      <c r="D460" s="4">
        <f t="shared" si="23"/>
        <v>2023</v>
      </c>
      <c r="E460" s="3">
        <v>45006</v>
      </c>
      <c r="F460" s="4" t="s">
        <v>485</v>
      </c>
      <c r="G460" s="4" t="s">
        <v>16</v>
      </c>
      <c r="H460" s="4" t="str" cm="1">
        <f t="array" ref="H460">_xlfn.IFS(I460&lt;30, "Young Adult", I460&gt;=50, "Senior", I460&gt;=30, "Adult")</f>
        <v>Young Adult</v>
      </c>
      <c r="I460" s="4">
        <v>28</v>
      </c>
      <c r="J460" s="4" t="s">
        <v>20</v>
      </c>
      <c r="K460" s="4">
        <v>4</v>
      </c>
      <c r="L460" s="5">
        <v>300</v>
      </c>
      <c r="M460" s="5">
        <f>K460 * L460</f>
        <v>1200</v>
      </c>
      <c r="N460" s="5">
        <f>M460 * $Q$4</f>
        <v>18</v>
      </c>
      <c r="O460" s="5">
        <f>M460* $Q$5</f>
        <v>24</v>
      </c>
    </row>
    <row r="461" spans="1:15">
      <c r="A461" s="2">
        <v>460</v>
      </c>
      <c r="B461" s="4">
        <f t="shared" si="21"/>
        <v>2</v>
      </c>
      <c r="C461" s="4">
        <f t="shared" si="22"/>
        <v>5</v>
      </c>
      <c r="D461" s="4">
        <f t="shared" si="23"/>
        <v>2023</v>
      </c>
      <c r="E461" s="3">
        <v>45048</v>
      </c>
      <c r="F461" s="4" t="s">
        <v>486</v>
      </c>
      <c r="G461" s="4" t="s">
        <v>16</v>
      </c>
      <c r="H461" s="4" t="str" cm="1">
        <f t="array" ref="H461">_xlfn.IFS(I461&lt;30, "Young Adult", I461&gt;=50, "Senior", I461&gt;=30, "Adult")</f>
        <v>Adult</v>
      </c>
      <c r="I461" s="4">
        <v>40</v>
      </c>
      <c r="J461" s="4" t="s">
        <v>17</v>
      </c>
      <c r="K461" s="4">
        <v>1</v>
      </c>
      <c r="L461" s="5">
        <v>50</v>
      </c>
      <c r="M461" s="5">
        <f>K461 * L461</f>
        <v>50</v>
      </c>
      <c r="N461" s="5">
        <f>M461 * $Q$4</f>
        <v>0.75</v>
      </c>
      <c r="O461" s="5">
        <f>M461* $Q$5</f>
        <v>1</v>
      </c>
    </row>
    <row r="462" spans="1:15">
      <c r="A462" s="2">
        <v>461</v>
      </c>
      <c r="B462" s="4">
        <f t="shared" si="21"/>
        <v>25</v>
      </c>
      <c r="C462" s="4">
        <f t="shared" si="22"/>
        <v>3</v>
      </c>
      <c r="D462" s="4">
        <f t="shared" si="23"/>
        <v>2023</v>
      </c>
      <c r="E462" s="3">
        <v>45010</v>
      </c>
      <c r="F462" s="4" t="s">
        <v>487</v>
      </c>
      <c r="G462" s="4" t="s">
        <v>19</v>
      </c>
      <c r="H462" s="4" t="str" cm="1">
        <f t="array" ref="H462">_xlfn.IFS(I462&lt;30, "Young Adult", I462&gt;=50, "Senior", I462&gt;=30, "Adult")</f>
        <v>Young Adult</v>
      </c>
      <c r="I462" s="4">
        <v>18</v>
      </c>
      <c r="J462" s="4" t="s">
        <v>17</v>
      </c>
      <c r="K462" s="4">
        <v>2</v>
      </c>
      <c r="L462" s="5">
        <v>500</v>
      </c>
      <c r="M462" s="5">
        <f>K462 * L462</f>
        <v>1000</v>
      </c>
      <c r="N462" s="5">
        <f>M462 * $Q$4</f>
        <v>15</v>
      </c>
      <c r="O462" s="5">
        <f>M462* $Q$5</f>
        <v>20</v>
      </c>
    </row>
    <row r="463" spans="1:15">
      <c r="A463" s="2">
        <v>462</v>
      </c>
      <c r="B463" s="4">
        <f t="shared" si="21"/>
        <v>1</v>
      </c>
      <c r="C463" s="4">
        <f t="shared" si="22"/>
        <v>4</v>
      </c>
      <c r="D463" s="4">
        <f t="shared" si="23"/>
        <v>2023</v>
      </c>
      <c r="E463" s="3">
        <v>45017</v>
      </c>
      <c r="F463" s="4" t="s">
        <v>488</v>
      </c>
      <c r="G463" s="4" t="s">
        <v>16</v>
      </c>
      <c r="H463" s="4" t="str" cm="1">
        <f t="array" ref="H463">_xlfn.IFS(I463&lt;30, "Young Adult", I463&gt;=50, "Senior", I463&gt;=30, "Adult")</f>
        <v>Senior</v>
      </c>
      <c r="I463" s="4">
        <v>63</v>
      </c>
      <c r="J463" s="4" t="s">
        <v>24</v>
      </c>
      <c r="K463" s="4">
        <v>4</v>
      </c>
      <c r="L463" s="5">
        <v>300</v>
      </c>
      <c r="M463" s="5">
        <f>K463 * L463</f>
        <v>1200</v>
      </c>
      <c r="N463" s="5">
        <f>M463 * $Q$4</f>
        <v>18</v>
      </c>
      <c r="O463" s="5">
        <f>M463* $Q$5</f>
        <v>24</v>
      </c>
    </row>
    <row r="464" spans="1:15">
      <c r="A464" s="2">
        <v>463</v>
      </c>
      <c r="B464" s="4">
        <f t="shared" si="21"/>
        <v>31</v>
      </c>
      <c r="C464" s="4">
        <f t="shared" si="22"/>
        <v>7</v>
      </c>
      <c r="D464" s="4">
        <f t="shared" si="23"/>
        <v>2023</v>
      </c>
      <c r="E464" s="3">
        <v>45138</v>
      </c>
      <c r="F464" s="4" t="s">
        <v>489</v>
      </c>
      <c r="G464" s="4" t="s">
        <v>19</v>
      </c>
      <c r="H464" s="4" t="str" cm="1">
        <f t="array" ref="H464">_xlfn.IFS(I464&lt;30, "Young Adult", I464&gt;=50, "Senior", I464&gt;=30, "Adult")</f>
        <v>Senior</v>
      </c>
      <c r="I464" s="4">
        <v>54</v>
      </c>
      <c r="J464" s="4" t="s">
        <v>17</v>
      </c>
      <c r="K464" s="4">
        <v>3</v>
      </c>
      <c r="L464" s="5">
        <v>500</v>
      </c>
      <c r="M464" s="5">
        <f>K464 * L464</f>
        <v>1500</v>
      </c>
      <c r="N464" s="5">
        <f>M464 * $Q$4</f>
        <v>22.5</v>
      </c>
      <c r="O464" s="5">
        <f>M464* $Q$5</f>
        <v>30</v>
      </c>
    </row>
    <row r="465" spans="1:15">
      <c r="A465" s="2">
        <v>464</v>
      </c>
      <c r="B465" s="4">
        <f t="shared" si="21"/>
        <v>13</v>
      </c>
      <c r="C465" s="4">
        <f t="shared" si="22"/>
        <v>1</v>
      </c>
      <c r="D465" s="4">
        <f t="shared" si="23"/>
        <v>2023</v>
      </c>
      <c r="E465" s="3">
        <v>44939</v>
      </c>
      <c r="F465" s="4" t="s">
        <v>490</v>
      </c>
      <c r="G465" s="4" t="s">
        <v>16</v>
      </c>
      <c r="H465" s="4" t="str" cm="1">
        <f t="array" ref="H465">_xlfn.IFS(I465&lt;30, "Young Adult", I465&gt;=50, "Senior", I465&gt;=30, "Adult")</f>
        <v>Adult</v>
      </c>
      <c r="I465" s="4">
        <v>38</v>
      </c>
      <c r="J465" s="4" t="s">
        <v>24</v>
      </c>
      <c r="K465" s="4">
        <v>2</v>
      </c>
      <c r="L465" s="5">
        <v>300</v>
      </c>
      <c r="M465" s="5">
        <f>K465 * L465</f>
        <v>600</v>
      </c>
      <c r="N465" s="5">
        <f>M465 * $Q$4</f>
        <v>9</v>
      </c>
      <c r="O465" s="5">
        <f>M465* $Q$5</f>
        <v>12</v>
      </c>
    </row>
    <row r="466" spans="1:15">
      <c r="A466" s="2">
        <v>465</v>
      </c>
      <c r="B466" s="4">
        <f t="shared" si="21"/>
        <v>2</v>
      </c>
      <c r="C466" s="4">
        <f t="shared" si="22"/>
        <v>4</v>
      </c>
      <c r="D466" s="4">
        <f t="shared" si="23"/>
        <v>2023</v>
      </c>
      <c r="E466" s="3">
        <v>45018</v>
      </c>
      <c r="F466" s="4" t="s">
        <v>491</v>
      </c>
      <c r="G466" s="4" t="s">
        <v>19</v>
      </c>
      <c r="H466" s="4" t="str" cm="1">
        <f t="array" ref="H466">_xlfn.IFS(I466&lt;30, "Young Adult", I466&gt;=50, "Senior", I466&gt;=30, "Adult")</f>
        <v>Adult</v>
      </c>
      <c r="I466" s="4">
        <v>43</v>
      </c>
      <c r="J466" s="4" t="s">
        <v>24</v>
      </c>
      <c r="K466" s="4">
        <v>3</v>
      </c>
      <c r="L466" s="5">
        <v>50</v>
      </c>
      <c r="M466" s="5">
        <f>K466 * L466</f>
        <v>150</v>
      </c>
      <c r="N466" s="5">
        <f>M466 * $Q$4</f>
        <v>2.25</v>
      </c>
      <c r="O466" s="5">
        <f>M466* $Q$5</f>
        <v>3</v>
      </c>
    </row>
    <row r="467" spans="1:15">
      <c r="A467" s="2">
        <v>466</v>
      </c>
      <c r="B467" s="4">
        <f t="shared" si="21"/>
        <v>20</v>
      </c>
      <c r="C467" s="4">
        <f t="shared" si="22"/>
        <v>6</v>
      </c>
      <c r="D467" s="4">
        <f t="shared" si="23"/>
        <v>2023</v>
      </c>
      <c r="E467" s="3">
        <v>45097</v>
      </c>
      <c r="F467" s="4" t="s">
        <v>492</v>
      </c>
      <c r="G467" s="4" t="s">
        <v>16</v>
      </c>
      <c r="H467" s="4" t="str" cm="1">
        <f t="array" ref="H467">_xlfn.IFS(I467&lt;30, "Young Adult", I467&gt;=50, "Senior", I467&gt;=30, "Adult")</f>
        <v>Senior</v>
      </c>
      <c r="I467" s="4">
        <v>63</v>
      </c>
      <c r="J467" s="4" t="s">
        <v>24</v>
      </c>
      <c r="K467" s="4">
        <v>4</v>
      </c>
      <c r="L467" s="5">
        <v>25</v>
      </c>
      <c r="M467" s="5">
        <f>K467 * L467</f>
        <v>100</v>
      </c>
      <c r="N467" s="5">
        <f>M467 * $Q$4</f>
        <v>1.5</v>
      </c>
      <c r="O467" s="5">
        <f>M467* $Q$5</f>
        <v>2</v>
      </c>
    </row>
    <row r="468" spans="1:15">
      <c r="A468" s="2">
        <v>467</v>
      </c>
      <c r="B468" s="4">
        <f t="shared" si="21"/>
        <v>30</v>
      </c>
      <c r="C468" s="4">
        <f t="shared" si="22"/>
        <v>7</v>
      </c>
      <c r="D468" s="4">
        <f t="shared" si="23"/>
        <v>2023</v>
      </c>
      <c r="E468" s="3">
        <v>45137</v>
      </c>
      <c r="F468" s="4" t="s">
        <v>493</v>
      </c>
      <c r="G468" s="4" t="s">
        <v>19</v>
      </c>
      <c r="H468" s="4" t="str" cm="1">
        <f t="array" ref="H468">_xlfn.IFS(I468&lt;30, "Young Adult", I468&gt;=50, "Senior", I468&gt;=30, "Adult")</f>
        <v>Senior</v>
      </c>
      <c r="I468" s="4">
        <v>53</v>
      </c>
      <c r="J468" s="4" t="s">
        <v>24</v>
      </c>
      <c r="K468" s="4">
        <v>3</v>
      </c>
      <c r="L468" s="5">
        <v>50</v>
      </c>
      <c r="M468" s="5">
        <f>K468 * L468</f>
        <v>150</v>
      </c>
      <c r="N468" s="5">
        <f>M468 * $Q$4</f>
        <v>2.25</v>
      </c>
      <c r="O468" s="5">
        <f>M468* $Q$5</f>
        <v>3</v>
      </c>
    </row>
    <row r="469" spans="1:15">
      <c r="A469" s="2">
        <v>468</v>
      </c>
      <c r="B469" s="4">
        <f t="shared" si="21"/>
        <v>9</v>
      </c>
      <c r="C469" s="4">
        <f t="shared" si="22"/>
        <v>12</v>
      </c>
      <c r="D469" s="4">
        <f t="shared" si="23"/>
        <v>2023</v>
      </c>
      <c r="E469" s="3">
        <v>45269</v>
      </c>
      <c r="F469" s="4" t="s">
        <v>494</v>
      </c>
      <c r="G469" s="4" t="s">
        <v>16</v>
      </c>
      <c r="H469" s="4" t="str" cm="1">
        <f t="array" ref="H469">_xlfn.IFS(I469&lt;30, "Young Adult", I469&gt;=50, "Senior", I469&gt;=30, "Adult")</f>
        <v>Adult</v>
      </c>
      <c r="I469" s="4">
        <v>40</v>
      </c>
      <c r="J469" s="4" t="s">
        <v>24</v>
      </c>
      <c r="K469" s="4">
        <v>1</v>
      </c>
      <c r="L469" s="5">
        <v>25</v>
      </c>
      <c r="M469" s="5">
        <f>K469 * L469</f>
        <v>25</v>
      </c>
      <c r="N469" s="5">
        <f>M469 * $Q$4</f>
        <v>0.375</v>
      </c>
      <c r="O469" s="5">
        <f>M469* $Q$5</f>
        <v>0.5</v>
      </c>
    </row>
    <row r="470" spans="1:15">
      <c r="A470" s="2">
        <v>469</v>
      </c>
      <c r="B470" s="4">
        <f t="shared" si="21"/>
        <v>8</v>
      </c>
      <c r="C470" s="4">
        <f t="shared" si="22"/>
        <v>5</v>
      </c>
      <c r="D470" s="4">
        <f t="shared" si="23"/>
        <v>2023</v>
      </c>
      <c r="E470" s="3">
        <v>45054</v>
      </c>
      <c r="F470" s="4" t="s">
        <v>495</v>
      </c>
      <c r="G470" s="4" t="s">
        <v>16</v>
      </c>
      <c r="H470" s="4" t="str" cm="1">
        <f t="array" ref="H470">_xlfn.IFS(I470&lt;30, "Young Adult", I470&gt;=50, "Senior", I470&gt;=30, "Adult")</f>
        <v>Young Adult</v>
      </c>
      <c r="I470" s="4">
        <v>18</v>
      </c>
      <c r="J470" s="4" t="s">
        <v>17</v>
      </c>
      <c r="K470" s="4">
        <v>3</v>
      </c>
      <c r="L470" s="5">
        <v>25</v>
      </c>
      <c r="M470" s="5">
        <f>K470 * L470</f>
        <v>75</v>
      </c>
      <c r="N470" s="5">
        <f>M470 * $Q$4</f>
        <v>1.125</v>
      </c>
      <c r="O470" s="5">
        <f>M470* $Q$5</f>
        <v>1.5</v>
      </c>
    </row>
    <row r="471" spans="1:15">
      <c r="A471" s="2">
        <v>470</v>
      </c>
      <c r="B471" s="4">
        <f t="shared" si="21"/>
        <v>17</v>
      </c>
      <c r="C471" s="4">
        <f t="shared" si="22"/>
        <v>5</v>
      </c>
      <c r="D471" s="4">
        <f t="shared" si="23"/>
        <v>2023</v>
      </c>
      <c r="E471" s="3">
        <v>45063</v>
      </c>
      <c r="F471" s="4" t="s">
        <v>496</v>
      </c>
      <c r="G471" s="4" t="s">
        <v>19</v>
      </c>
      <c r="H471" s="4" t="str" cm="1">
        <f t="array" ref="H471">_xlfn.IFS(I471&lt;30, "Young Adult", I471&gt;=50, "Senior", I471&gt;=30, "Adult")</f>
        <v>Senior</v>
      </c>
      <c r="I471" s="4">
        <v>57</v>
      </c>
      <c r="J471" s="4" t="s">
        <v>20</v>
      </c>
      <c r="K471" s="4">
        <v>2</v>
      </c>
      <c r="L471" s="5">
        <v>500</v>
      </c>
      <c r="M471" s="5">
        <f>K471 * L471</f>
        <v>1000</v>
      </c>
      <c r="N471" s="5">
        <f>M471 * $Q$4</f>
        <v>15</v>
      </c>
      <c r="O471" s="5">
        <f>M471* $Q$5</f>
        <v>20</v>
      </c>
    </row>
    <row r="472" spans="1:15">
      <c r="A472" s="2">
        <v>471</v>
      </c>
      <c r="B472" s="4">
        <f t="shared" si="21"/>
        <v>23</v>
      </c>
      <c r="C472" s="4">
        <f t="shared" si="22"/>
        <v>3</v>
      </c>
      <c r="D472" s="4">
        <f t="shared" si="23"/>
        <v>2023</v>
      </c>
      <c r="E472" s="3">
        <v>45008</v>
      </c>
      <c r="F472" s="4" t="s">
        <v>497</v>
      </c>
      <c r="G472" s="4" t="s">
        <v>16</v>
      </c>
      <c r="H472" s="4" t="str" cm="1">
        <f t="array" ref="H472">_xlfn.IFS(I472&lt;30, "Young Adult", I472&gt;=50, "Senior", I472&gt;=30, "Adult")</f>
        <v>Adult</v>
      </c>
      <c r="I472" s="4">
        <v>32</v>
      </c>
      <c r="J472" s="4" t="s">
        <v>20</v>
      </c>
      <c r="K472" s="4">
        <v>3</v>
      </c>
      <c r="L472" s="5">
        <v>50</v>
      </c>
      <c r="M472" s="5">
        <f>K472 * L472</f>
        <v>150</v>
      </c>
      <c r="N472" s="5">
        <f>M472 * $Q$4</f>
        <v>2.25</v>
      </c>
      <c r="O472" s="5">
        <f>M472* $Q$5</f>
        <v>3</v>
      </c>
    </row>
    <row r="473" spans="1:15">
      <c r="A473" s="2">
        <v>472</v>
      </c>
      <c r="B473" s="4">
        <f t="shared" si="21"/>
        <v>26</v>
      </c>
      <c r="C473" s="4">
        <f t="shared" si="22"/>
        <v>12</v>
      </c>
      <c r="D473" s="4">
        <f t="shared" si="23"/>
        <v>2023</v>
      </c>
      <c r="E473" s="3">
        <v>45286</v>
      </c>
      <c r="F473" s="4" t="s">
        <v>498</v>
      </c>
      <c r="G473" s="4" t="s">
        <v>19</v>
      </c>
      <c r="H473" s="4" t="str" cm="1">
        <f t="array" ref="H473">_xlfn.IFS(I473&lt;30, "Young Adult", I473&gt;=50, "Senior", I473&gt;=30, "Adult")</f>
        <v>Adult</v>
      </c>
      <c r="I473" s="4">
        <v>38</v>
      </c>
      <c r="J473" s="4" t="s">
        <v>17</v>
      </c>
      <c r="K473" s="4">
        <v>3</v>
      </c>
      <c r="L473" s="5">
        <v>300</v>
      </c>
      <c r="M473" s="5">
        <f>K473 * L473</f>
        <v>900</v>
      </c>
      <c r="N473" s="5">
        <f>M473 * $Q$4</f>
        <v>13.5</v>
      </c>
      <c r="O473" s="5">
        <f>M473* $Q$5</f>
        <v>18</v>
      </c>
    </row>
    <row r="474" spans="1:15">
      <c r="A474" s="2">
        <v>473</v>
      </c>
      <c r="B474" s="4">
        <f t="shared" si="21"/>
        <v>25</v>
      </c>
      <c r="C474" s="4">
        <f t="shared" si="22"/>
        <v>2</v>
      </c>
      <c r="D474" s="4">
        <f t="shared" si="23"/>
        <v>2023</v>
      </c>
      <c r="E474" s="3">
        <v>44982</v>
      </c>
      <c r="F474" s="4" t="s">
        <v>499</v>
      </c>
      <c r="G474" s="4" t="s">
        <v>16</v>
      </c>
      <c r="H474" s="4" t="str" cm="1">
        <f t="array" ref="H474">_xlfn.IFS(I474&lt;30, "Young Adult", I474&gt;=50, "Senior", I474&gt;=30, "Adult")</f>
        <v>Senior</v>
      </c>
      <c r="I474" s="4">
        <v>64</v>
      </c>
      <c r="J474" s="4" t="s">
        <v>17</v>
      </c>
      <c r="K474" s="4">
        <v>1</v>
      </c>
      <c r="L474" s="5">
        <v>50</v>
      </c>
      <c r="M474" s="5">
        <f>K474 * L474</f>
        <v>50</v>
      </c>
      <c r="N474" s="5">
        <f>M474 * $Q$4</f>
        <v>0.75</v>
      </c>
      <c r="O474" s="5">
        <f>M474* $Q$5</f>
        <v>1</v>
      </c>
    </row>
    <row r="475" spans="1:15">
      <c r="A475" s="2">
        <v>474</v>
      </c>
      <c r="B475" s="4">
        <f t="shared" si="21"/>
        <v>15</v>
      </c>
      <c r="C475" s="4">
        <f t="shared" si="22"/>
        <v>7</v>
      </c>
      <c r="D475" s="4">
        <f t="shared" si="23"/>
        <v>2023</v>
      </c>
      <c r="E475" s="3">
        <v>45122</v>
      </c>
      <c r="F475" s="4" t="s">
        <v>500</v>
      </c>
      <c r="G475" s="4" t="s">
        <v>19</v>
      </c>
      <c r="H475" s="4" t="str" cm="1">
        <f t="array" ref="H475">_xlfn.IFS(I475&lt;30, "Young Adult", I475&gt;=50, "Senior", I475&gt;=30, "Adult")</f>
        <v>Young Adult</v>
      </c>
      <c r="I475" s="4">
        <v>26</v>
      </c>
      <c r="J475" s="4" t="s">
        <v>20</v>
      </c>
      <c r="K475" s="4">
        <v>3</v>
      </c>
      <c r="L475" s="5">
        <v>500</v>
      </c>
      <c r="M475" s="5">
        <f>K475 * L475</f>
        <v>1500</v>
      </c>
      <c r="N475" s="5">
        <f>M475 * $Q$4</f>
        <v>22.5</v>
      </c>
      <c r="O475" s="5">
        <f>M475* $Q$5</f>
        <v>30</v>
      </c>
    </row>
    <row r="476" spans="1:15">
      <c r="A476" s="2">
        <v>475</v>
      </c>
      <c r="B476" s="4">
        <f t="shared" si="21"/>
        <v>20</v>
      </c>
      <c r="C476" s="4">
        <f t="shared" si="22"/>
        <v>1</v>
      </c>
      <c r="D476" s="4">
        <f t="shared" si="23"/>
        <v>2023</v>
      </c>
      <c r="E476" s="3">
        <v>44946</v>
      </c>
      <c r="F476" s="4" t="s">
        <v>501</v>
      </c>
      <c r="G476" s="4" t="s">
        <v>16</v>
      </c>
      <c r="H476" s="4" t="str" cm="1">
        <f t="array" ref="H476">_xlfn.IFS(I476&lt;30, "Young Adult", I476&gt;=50, "Senior", I476&gt;=30, "Adult")</f>
        <v>Young Adult</v>
      </c>
      <c r="I476" s="4">
        <v>26</v>
      </c>
      <c r="J476" s="4" t="s">
        <v>20</v>
      </c>
      <c r="K476" s="4">
        <v>3</v>
      </c>
      <c r="L476" s="5">
        <v>25</v>
      </c>
      <c r="M476" s="5">
        <f>K476 * L476</f>
        <v>75</v>
      </c>
      <c r="N476" s="5">
        <f>M476 * $Q$4</f>
        <v>1.125</v>
      </c>
      <c r="O476" s="5">
        <f>M476* $Q$5</f>
        <v>1.5</v>
      </c>
    </row>
    <row r="477" spans="1:15">
      <c r="A477" s="2">
        <v>476</v>
      </c>
      <c r="B477" s="4">
        <f t="shared" si="21"/>
        <v>29</v>
      </c>
      <c r="C477" s="4">
        <f t="shared" si="22"/>
        <v>8</v>
      </c>
      <c r="D477" s="4">
        <f t="shared" si="23"/>
        <v>2023</v>
      </c>
      <c r="E477" s="3">
        <v>45167</v>
      </c>
      <c r="F477" s="4" t="s">
        <v>502</v>
      </c>
      <c r="G477" s="4" t="s">
        <v>19</v>
      </c>
      <c r="H477" s="4" t="str" cm="1">
        <f t="array" ref="H477">_xlfn.IFS(I477&lt;30, "Young Adult", I477&gt;=50, "Senior", I477&gt;=30, "Adult")</f>
        <v>Young Adult</v>
      </c>
      <c r="I477" s="4">
        <v>27</v>
      </c>
      <c r="J477" s="4" t="s">
        <v>20</v>
      </c>
      <c r="K477" s="4">
        <v>4</v>
      </c>
      <c r="L477" s="5">
        <v>500</v>
      </c>
      <c r="M477" s="5">
        <f>K477 * L477</f>
        <v>2000</v>
      </c>
      <c r="N477" s="5">
        <f>M477 * $Q$4</f>
        <v>30</v>
      </c>
      <c r="O477" s="5">
        <f>M477* $Q$5</f>
        <v>40</v>
      </c>
    </row>
    <row r="478" spans="1:15">
      <c r="A478" s="2">
        <v>477</v>
      </c>
      <c r="B478" s="4">
        <f t="shared" si="21"/>
        <v>24</v>
      </c>
      <c r="C478" s="4">
        <f t="shared" si="22"/>
        <v>4</v>
      </c>
      <c r="D478" s="4">
        <f t="shared" si="23"/>
        <v>2023</v>
      </c>
      <c r="E478" s="3">
        <v>45040</v>
      </c>
      <c r="F478" s="4" t="s">
        <v>503</v>
      </c>
      <c r="G478" s="4" t="s">
        <v>16</v>
      </c>
      <c r="H478" s="4" t="str" cm="1">
        <f t="array" ref="H478">_xlfn.IFS(I478&lt;30, "Young Adult", I478&gt;=50, "Senior", I478&gt;=30, "Adult")</f>
        <v>Adult</v>
      </c>
      <c r="I478" s="4">
        <v>43</v>
      </c>
      <c r="J478" s="4" t="s">
        <v>20</v>
      </c>
      <c r="K478" s="4">
        <v>4</v>
      </c>
      <c r="L478" s="5">
        <v>30</v>
      </c>
      <c r="M478" s="5">
        <f>K478 * L478</f>
        <v>120</v>
      </c>
      <c r="N478" s="5">
        <f>M478 * $Q$4</f>
        <v>1.7999999999999998</v>
      </c>
      <c r="O478" s="5">
        <f>M478* $Q$5</f>
        <v>2.4</v>
      </c>
    </row>
    <row r="479" spans="1:15">
      <c r="A479" s="2">
        <v>478</v>
      </c>
      <c r="B479" s="4">
        <f t="shared" si="21"/>
        <v>13</v>
      </c>
      <c r="C479" s="4">
        <f t="shared" si="22"/>
        <v>4</v>
      </c>
      <c r="D479" s="4">
        <f t="shared" si="23"/>
        <v>2023</v>
      </c>
      <c r="E479" s="3">
        <v>45029</v>
      </c>
      <c r="F479" s="4" t="s">
        <v>504</v>
      </c>
      <c r="G479" s="4" t="s">
        <v>19</v>
      </c>
      <c r="H479" s="4" t="str" cm="1">
        <f t="array" ref="H479">_xlfn.IFS(I479&lt;30, "Young Adult", I479&gt;=50, "Senior", I479&gt;=30, "Adult")</f>
        <v>Senior</v>
      </c>
      <c r="I479" s="4">
        <v>58</v>
      </c>
      <c r="J479" s="4" t="s">
        <v>20</v>
      </c>
      <c r="K479" s="4">
        <v>2</v>
      </c>
      <c r="L479" s="5">
        <v>30</v>
      </c>
      <c r="M479" s="5">
        <f>K479 * L479</f>
        <v>60</v>
      </c>
      <c r="N479" s="5">
        <f>M479 * $Q$4</f>
        <v>0.89999999999999991</v>
      </c>
      <c r="O479" s="5">
        <f>M479* $Q$5</f>
        <v>1.2</v>
      </c>
    </row>
    <row r="480" spans="1:15">
      <c r="A480" s="2">
        <v>479</v>
      </c>
      <c r="B480" s="4">
        <f t="shared" si="21"/>
        <v>24</v>
      </c>
      <c r="C480" s="4">
        <f t="shared" si="22"/>
        <v>8</v>
      </c>
      <c r="D480" s="4">
        <f t="shared" si="23"/>
        <v>2023</v>
      </c>
      <c r="E480" s="3">
        <v>45162</v>
      </c>
      <c r="F480" s="4" t="s">
        <v>505</v>
      </c>
      <c r="G480" s="4" t="s">
        <v>16</v>
      </c>
      <c r="H480" s="4" t="str" cm="1">
        <f t="array" ref="H480">_xlfn.IFS(I480&lt;30, "Young Adult", I480&gt;=50, "Senior", I480&gt;=30, "Adult")</f>
        <v>Senior</v>
      </c>
      <c r="I480" s="4">
        <v>52</v>
      </c>
      <c r="J480" s="4" t="s">
        <v>24</v>
      </c>
      <c r="K480" s="4">
        <v>4</v>
      </c>
      <c r="L480" s="5">
        <v>300</v>
      </c>
      <c r="M480" s="5">
        <f>K480 * L480</f>
        <v>1200</v>
      </c>
      <c r="N480" s="5">
        <f>M480 * $Q$4</f>
        <v>18</v>
      </c>
      <c r="O480" s="5">
        <f>M480* $Q$5</f>
        <v>24</v>
      </c>
    </row>
    <row r="481" spans="1:15">
      <c r="A481" s="2">
        <v>480</v>
      </c>
      <c r="B481" s="4">
        <f t="shared" si="21"/>
        <v>29</v>
      </c>
      <c r="C481" s="4">
        <f t="shared" si="22"/>
        <v>6</v>
      </c>
      <c r="D481" s="4">
        <f t="shared" si="23"/>
        <v>2023</v>
      </c>
      <c r="E481" s="3">
        <v>45106</v>
      </c>
      <c r="F481" s="4" t="s">
        <v>506</v>
      </c>
      <c r="G481" s="4" t="s">
        <v>19</v>
      </c>
      <c r="H481" s="4" t="str" cm="1">
        <f t="array" ref="H481">_xlfn.IFS(I481&lt;30, "Young Adult", I481&gt;=50, "Senior", I481&gt;=30, "Adult")</f>
        <v>Adult</v>
      </c>
      <c r="I481" s="4">
        <v>42</v>
      </c>
      <c r="J481" s="4" t="s">
        <v>17</v>
      </c>
      <c r="K481" s="4">
        <v>4</v>
      </c>
      <c r="L481" s="5">
        <v>500</v>
      </c>
      <c r="M481" s="5">
        <f>K481 * L481</f>
        <v>2000</v>
      </c>
      <c r="N481" s="5">
        <f>M481 * $Q$4</f>
        <v>30</v>
      </c>
      <c r="O481" s="5">
        <f>M481* $Q$5</f>
        <v>40</v>
      </c>
    </row>
    <row r="482" spans="1:15">
      <c r="A482" s="2">
        <v>481</v>
      </c>
      <c r="B482" s="4">
        <f t="shared" si="21"/>
        <v>6</v>
      </c>
      <c r="C482" s="4">
        <f t="shared" si="22"/>
        <v>6</v>
      </c>
      <c r="D482" s="4">
        <f t="shared" si="23"/>
        <v>2023</v>
      </c>
      <c r="E482" s="3">
        <v>45083</v>
      </c>
      <c r="F482" s="4" t="s">
        <v>507</v>
      </c>
      <c r="G482" s="4" t="s">
        <v>19</v>
      </c>
      <c r="H482" s="4" t="str" cm="1">
        <f t="array" ref="H482">_xlfn.IFS(I482&lt;30, "Young Adult", I482&gt;=50, "Senior", I482&gt;=30, "Adult")</f>
        <v>Adult</v>
      </c>
      <c r="I482" s="4">
        <v>43</v>
      </c>
      <c r="J482" s="4" t="s">
        <v>24</v>
      </c>
      <c r="K482" s="4">
        <v>4</v>
      </c>
      <c r="L482" s="5">
        <v>300</v>
      </c>
      <c r="M482" s="5">
        <f>K482 * L482</f>
        <v>1200</v>
      </c>
      <c r="N482" s="5">
        <f>M482 * $Q$4</f>
        <v>18</v>
      </c>
      <c r="O482" s="5">
        <f>M482* $Q$5</f>
        <v>24</v>
      </c>
    </row>
    <row r="483" spans="1:15">
      <c r="A483" s="2">
        <v>482</v>
      </c>
      <c r="B483" s="4">
        <f t="shared" si="21"/>
        <v>27</v>
      </c>
      <c r="C483" s="4">
        <f t="shared" si="22"/>
        <v>4</v>
      </c>
      <c r="D483" s="4">
        <f t="shared" si="23"/>
        <v>2023</v>
      </c>
      <c r="E483" s="3">
        <v>45043</v>
      </c>
      <c r="F483" s="4" t="s">
        <v>508</v>
      </c>
      <c r="G483" s="4" t="s">
        <v>19</v>
      </c>
      <c r="H483" s="4" t="str" cm="1">
        <f t="array" ref="H483">_xlfn.IFS(I483&lt;30, "Young Adult", I483&gt;=50, "Senior", I483&gt;=30, "Adult")</f>
        <v>Young Adult</v>
      </c>
      <c r="I483" s="4">
        <v>28</v>
      </c>
      <c r="J483" s="4" t="s">
        <v>20</v>
      </c>
      <c r="K483" s="4">
        <v>4</v>
      </c>
      <c r="L483" s="5">
        <v>300</v>
      </c>
      <c r="M483" s="5">
        <f>K483 * L483</f>
        <v>1200</v>
      </c>
      <c r="N483" s="5">
        <f>M483 * $Q$4</f>
        <v>18</v>
      </c>
      <c r="O483" s="5">
        <f>M483* $Q$5</f>
        <v>24</v>
      </c>
    </row>
    <row r="484" spans="1:15">
      <c r="A484" s="2">
        <v>483</v>
      </c>
      <c r="B484" s="4">
        <f t="shared" si="21"/>
        <v>25</v>
      </c>
      <c r="C484" s="4">
        <f t="shared" si="22"/>
        <v>4</v>
      </c>
      <c r="D484" s="4">
        <f t="shared" si="23"/>
        <v>2023</v>
      </c>
      <c r="E484" s="3">
        <v>45041</v>
      </c>
      <c r="F484" s="4" t="s">
        <v>509</v>
      </c>
      <c r="G484" s="4" t="s">
        <v>16</v>
      </c>
      <c r="H484" s="4" t="str" cm="1">
        <f t="array" ref="H484">_xlfn.IFS(I484&lt;30, "Young Adult", I484&gt;=50, "Senior", I484&gt;=30, "Adult")</f>
        <v>Senior</v>
      </c>
      <c r="I484" s="4">
        <v>55</v>
      </c>
      <c r="J484" s="4" t="s">
        <v>20</v>
      </c>
      <c r="K484" s="4">
        <v>1</v>
      </c>
      <c r="L484" s="5">
        <v>30</v>
      </c>
      <c r="M484" s="5">
        <f>K484 * L484</f>
        <v>30</v>
      </c>
      <c r="N484" s="5">
        <f>M484 * $Q$4</f>
        <v>0.44999999999999996</v>
      </c>
      <c r="O484" s="5">
        <f>M484* $Q$5</f>
        <v>0.6</v>
      </c>
    </row>
    <row r="485" spans="1:15">
      <c r="A485" s="2">
        <v>484</v>
      </c>
      <c r="B485" s="4">
        <f t="shared" si="21"/>
        <v>13</v>
      </c>
      <c r="C485" s="4">
        <f t="shared" si="22"/>
        <v>1</v>
      </c>
      <c r="D485" s="4">
        <f t="shared" si="23"/>
        <v>2023</v>
      </c>
      <c r="E485" s="3">
        <v>44939</v>
      </c>
      <c r="F485" s="4" t="s">
        <v>510</v>
      </c>
      <c r="G485" s="4" t="s">
        <v>19</v>
      </c>
      <c r="H485" s="4" t="str" cm="1">
        <f t="array" ref="H485">_xlfn.IFS(I485&lt;30, "Young Adult", I485&gt;=50, "Senior", I485&gt;=30, "Adult")</f>
        <v>Young Adult</v>
      </c>
      <c r="I485" s="4">
        <v>19</v>
      </c>
      <c r="J485" s="4" t="s">
        <v>20</v>
      </c>
      <c r="K485" s="4">
        <v>4</v>
      </c>
      <c r="L485" s="5">
        <v>300</v>
      </c>
      <c r="M485" s="5">
        <f>K485 * L485</f>
        <v>1200</v>
      </c>
      <c r="N485" s="5">
        <f>M485 * $Q$4</f>
        <v>18</v>
      </c>
      <c r="O485" s="5">
        <f>M485* $Q$5</f>
        <v>24</v>
      </c>
    </row>
    <row r="486" spans="1:15">
      <c r="A486" s="2">
        <v>485</v>
      </c>
      <c r="B486" s="4">
        <f t="shared" si="21"/>
        <v>4</v>
      </c>
      <c r="C486" s="4">
        <f t="shared" si="22"/>
        <v>12</v>
      </c>
      <c r="D486" s="4">
        <f t="shared" si="23"/>
        <v>2023</v>
      </c>
      <c r="E486" s="3">
        <v>45264</v>
      </c>
      <c r="F486" s="4" t="s">
        <v>511</v>
      </c>
      <c r="G486" s="4" t="s">
        <v>16</v>
      </c>
      <c r="H486" s="4" t="str" cm="1">
        <f t="array" ref="H486">_xlfn.IFS(I486&lt;30, "Young Adult", I486&gt;=50, "Senior", I486&gt;=30, "Adult")</f>
        <v>Young Adult</v>
      </c>
      <c r="I486" s="4">
        <v>24</v>
      </c>
      <c r="J486" s="4" t="s">
        <v>24</v>
      </c>
      <c r="K486" s="4">
        <v>1</v>
      </c>
      <c r="L486" s="5">
        <v>30</v>
      </c>
      <c r="M486" s="5">
        <f>K486 * L486</f>
        <v>30</v>
      </c>
      <c r="N486" s="5">
        <f>M486 * $Q$4</f>
        <v>0.44999999999999996</v>
      </c>
      <c r="O486" s="5">
        <f>M486* $Q$5</f>
        <v>0.6</v>
      </c>
    </row>
    <row r="487" spans="1:15">
      <c r="A487" s="2">
        <v>486</v>
      </c>
      <c r="B487" s="4">
        <f t="shared" si="21"/>
        <v>9</v>
      </c>
      <c r="C487" s="4">
        <f t="shared" si="22"/>
        <v>4</v>
      </c>
      <c r="D487" s="4">
        <f t="shared" si="23"/>
        <v>2023</v>
      </c>
      <c r="E487" s="3">
        <v>45025</v>
      </c>
      <c r="F487" s="4" t="s">
        <v>512</v>
      </c>
      <c r="G487" s="4" t="s">
        <v>19</v>
      </c>
      <c r="H487" s="4" t="str" cm="1">
        <f t="array" ref="H487">_xlfn.IFS(I487&lt;30, "Young Adult", I487&gt;=50, "Senior", I487&gt;=30, "Adult")</f>
        <v>Adult</v>
      </c>
      <c r="I487" s="4">
        <v>35</v>
      </c>
      <c r="J487" s="4" t="s">
        <v>24</v>
      </c>
      <c r="K487" s="4">
        <v>1</v>
      </c>
      <c r="L487" s="5">
        <v>25</v>
      </c>
      <c r="M487" s="5">
        <f>K487 * L487</f>
        <v>25</v>
      </c>
      <c r="N487" s="5">
        <f>M487 * $Q$4</f>
        <v>0.375</v>
      </c>
      <c r="O487" s="5">
        <f>M487* $Q$5</f>
        <v>0.5</v>
      </c>
    </row>
    <row r="488" spans="1:15">
      <c r="A488" s="2">
        <v>487</v>
      </c>
      <c r="B488" s="4">
        <f t="shared" si="21"/>
        <v>24</v>
      </c>
      <c r="C488" s="4">
        <f t="shared" si="22"/>
        <v>7</v>
      </c>
      <c r="D488" s="4">
        <f t="shared" si="23"/>
        <v>2023</v>
      </c>
      <c r="E488" s="3">
        <v>45131</v>
      </c>
      <c r="F488" s="4" t="s">
        <v>513</v>
      </c>
      <c r="G488" s="4" t="s">
        <v>16</v>
      </c>
      <c r="H488" s="4" t="str" cm="1">
        <f t="array" ref="H488">_xlfn.IFS(I488&lt;30, "Young Adult", I488&gt;=50, "Senior", I488&gt;=30, "Adult")</f>
        <v>Adult</v>
      </c>
      <c r="I488" s="4">
        <v>44</v>
      </c>
      <c r="J488" s="4" t="s">
        <v>20</v>
      </c>
      <c r="K488" s="4">
        <v>4</v>
      </c>
      <c r="L488" s="5">
        <v>500</v>
      </c>
      <c r="M488" s="5">
        <f>K488 * L488</f>
        <v>2000</v>
      </c>
      <c r="N488" s="5">
        <f>M488 * $Q$4</f>
        <v>30</v>
      </c>
      <c r="O488" s="5">
        <f>M488* $Q$5</f>
        <v>40</v>
      </c>
    </row>
    <row r="489" spans="1:15">
      <c r="A489" s="2">
        <v>488</v>
      </c>
      <c r="B489" s="4">
        <f t="shared" si="21"/>
        <v>18</v>
      </c>
      <c r="C489" s="4">
        <f t="shared" si="22"/>
        <v>6</v>
      </c>
      <c r="D489" s="4">
        <f t="shared" si="23"/>
        <v>2023</v>
      </c>
      <c r="E489" s="3">
        <v>45095</v>
      </c>
      <c r="F489" s="4" t="s">
        <v>514</v>
      </c>
      <c r="G489" s="4" t="s">
        <v>19</v>
      </c>
      <c r="H489" s="4" t="str" cm="1">
        <f t="array" ref="H489">_xlfn.IFS(I489&lt;30, "Young Adult", I489&gt;=50, "Senior", I489&gt;=30, "Adult")</f>
        <v>Senior</v>
      </c>
      <c r="I489" s="4">
        <v>51</v>
      </c>
      <c r="J489" s="4" t="s">
        <v>24</v>
      </c>
      <c r="K489" s="4">
        <v>3</v>
      </c>
      <c r="L489" s="5">
        <v>300</v>
      </c>
      <c r="M489" s="5">
        <f>K489 * L489</f>
        <v>900</v>
      </c>
      <c r="N489" s="5">
        <f>M489 * $Q$4</f>
        <v>13.5</v>
      </c>
      <c r="O489" s="5">
        <f>M489* $Q$5</f>
        <v>18</v>
      </c>
    </row>
    <row r="490" spans="1:15">
      <c r="A490" s="2">
        <v>489</v>
      </c>
      <c r="B490" s="4">
        <f t="shared" si="21"/>
        <v>23</v>
      </c>
      <c r="C490" s="4">
        <f t="shared" si="22"/>
        <v>5</v>
      </c>
      <c r="D490" s="4">
        <f t="shared" si="23"/>
        <v>2023</v>
      </c>
      <c r="E490" s="3">
        <v>45069</v>
      </c>
      <c r="F490" s="4" t="s">
        <v>515</v>
      </c>
      <c r="G490" s="4" t="s">
        <v>16</v>
      </c>
      <c r="H490" s="4" t="str" cm="1">
        <f t="array" ref="H490">_xlfn.IFS(I490&lt;30, "Young Adult", I490&gt;=50, "Senior", I490&gt;=30, "Adult")</f>
        <v>Adult</v>
      </c>
      <c r="I490" s="4">
        <v>44</v>
      </c>
      <c r="J490" s="4" t="s">
        <v>24</v>
      </c>
      <c r="K490" s="4">
        <v>1</v>
      </c>
      <c r="L490" s="5">
        <v>30</v>
      </c>
      <c r="M490" s="5">
        <f>K490 * L490</f>
        <v>30</v>
      </c>
      <c r="N490" s="5">
        <f>M490 * $Q$4</f>
        <v>0.44999999999999996</v>
      </c>
      <c r="O490" s="5">
        <f>M490* $Q$5</f>
        <v>0.6</v>
      </c>
    </row>
    <row r="491" spans="1:15">
      <c r="A491" s="2">
        <v>490</v>
      </c>
      <c r="B491" s="4">
        <f t="shared" si="21"/>
        <v>5</v>
      </c>
      <c r="C491" s="4">
        <f t="shared" si="22"/>
        <v>2</v>
      </c>
      <c r="D491" s="4">
        <f t="shared" si="23"/>
        <v>2023</v>
      </c>
      <c r="E491" s="3">
        <v>44962</v>
      </c>
      <c r="F491" s="4" t="s">
        <v>516</v>
      </c>
      <c r="G491" s="4" t="s">
        <v>16</v>
      </c>
      <c r="H491" s="4" t="str" cm="1">
        <f t="array" ref="H491">_xlfn.IFS(I491&lt;30, "Young Adult", I491&gt;=50, "Senior", I491&gt;=30, "Adult")</f>
        <v>Adult</v>
      </c>
      <c r="I491" s="4">
        <v>34</v>
      </c>
      <c r="J491" s="4" t="s">
        <v>20</v>
      </c>
      <c r="K491" s="4">
        <v>3</v>
      </c>
      <c r="L491" s="5">
        <v>50</v>
      </c>
      <c r="M491" s="5">
        <f>K491 * L491</f>
        <v>150</v>
      </c>
      <c r="N491" s="5">
        <f>M491 * $Q$4</f>
        <v>2.25</v>
      </c>
      <c r="O491" s="5">
        <f>M491* $Q$5</f>
        <v>3</v>
      </c>
    </row>
    <row r="492" spans="1:15">
      <c r="A492" s="2">
        <v>491</v>
      </c>
      <c r="B492" s="4">
        <f t="shared" si="21"/>
        <v>23</v>
      </c>
      <c r="C492" s="4">
        <f t="shared" si="22"/>
        <v>5</v>
      </c>
      <c r="D492" s="4">
        <f t="shared" si="23"/>
        <v>2023</v>
      </c>
      <c r="E492" s="3">
        <v>45069</v>
      </c>
      <c r="F492" s="4" t="s">
        <v>517</v>
      </c>
      <c r="G492" s="4" t="s">
        <v>19</v>
      </c>
      <c r="H492" s="4" t="str" cm="1">
        <f t="array" ref="H492">_xlfn.IFS(I492&lt;30, "Young Adult", I492&gt;=50, "Senior", I492&gt;=30, "Adult")</f>
        <v>Senior</v>
      </c>
      <c r="I492" s="4">
        <v>60</v>
      </c>
      <c r="J492" s="4" t="s">
        <v>24</v>
      </c>
      <c r="K492" s="4">
        <v>3</v>
      </c>
      <c r="L492" s="5">
        <v>300</v>
      </c>
      <c r="M492" s="5">
        <f>K492 * L492</f>
        <v>900</v>
      </c>
      <c r="N492" s="5">
        <f>M492 * $Q$4</f>
        <v>13.5</v>
      </c>
      <c r="O492" s="5">
        <f>M492* $Q$5</f>
        <v>18</v>
      </c>
    </row>
    <row r="493" spans="1:15">
      <c r="A493" s="2">
        <v>492</v>
      </c>
      <c r="B493" s="4">
        <f t="shared" si="21"/>
        <v>29</v>
      </c>
      <c r="C493" s="4">
        <f t="shared" si="22"/>
        <v>6</v>
      </c>
      <c r="D493" s="4">
        <f t="shared" si="23"/>
        <v>2023</v>
      </c>
      <c r="E493" s="3">
        <v>45106</v>
      </c>
      <c r="F493" s="4" t="s">
        <v>518</v>
      </c>
      <c r="G493" s="4" t="s">
        <v>16</v>
      </c>
      <c r="H493" s="4" t="str" cm="1">
        <f t="array" ref="H493">_xlfn.IFS(I493&lt;30, "Young Adult", I493&gt;=50, "Senior", I493&gt;=30, "Adult")</f>
        <v>Senior</v>
      </c>
      <c r="I493" s="4">
        <v>61</v>
      </c>
      <c r="J493" s="4" t="s">
        <v>17</v>
      </c>
      <c r="K493" s="4">
        <v>4</v>
      </c>
      <c r="L493" s="5">
        <v>25</v>
      </c>
      <c r="M493" s="5">
        <f>K493 * L493</f>
        <v>100</v>
      </c>
      <c r="N493" s="5">
        <f>M493 * $Q$4</f>
        <v>1.5</v>
      </c>
      <c r="O493" s="5">
        <f>M493* $Q$5</f>
        <v>2</v>
      </c>
    </row>
    <row r="494" spans="1:15">
      <c r="A494" s="2">
        <v>493</v>
      </c>
      <c r="B494" s="4">
        <f t="shared" si="21"/>
        <v>25</v>
      </c>
      <c r="C494" s="4">
        <f t="shared" si="22"/>
        <v>11</v>
      </c>
      <c r="D494" s="4">
        <f t="shared" si="23"/>
        <v>2023</v>
      </c>
      <c r="E494" s="3">
        <v>45255</v>
      </c>
      <c r="F494" s="4" t="s">
        <v>519</v>
      </c>
      <c r="G494" s="4" t="s">
        <v>16</v>
      </c>
      <c r="H494" s="4" t="str" cm="1">
        <f t="array" ref="H494">_xlfn.IFS(I494&lt;30, "Young Adult", I494&gt;=50, "Senior", I494&gt;=30, "Adult")</f>
        <v>Adult</v>
      </c>
      <c r="I494" s="4">
        <v>41</v>
      </c>
      <c r="J494" s="4" t="s">
        <v>17</v>
      </c>
      <c r="K494" s="4">
        <v>2</v>
      </c>
      <c r="L494" s="5">
        <v>25</v>
      </c>
      <c r="M494" s="5">
        <f>K494 * L494</f>
        <v>50</v>
      </c>
      <c r="N494" s="5">
        <f>M494 * $Q$4</f>
        <v>0.75</v>
      </c>
      <c r="O494" s="5">
        <f>M494* $Q$5</f>
        <v>1</v>
      </c>
    </row>
    <row r="495" spans="1:15">
      <c r="A495" s="2">
        <v>494</v>
      </c>
      <c r="B495" s="4">
        <f t="shared" si="21"/>
        <v>18</v>
      </c>
      <c r="C495" s="4">
        <f t="shared" si="22"/>
        <v>9</v>
      </c>
      <c r="D495" s="4">
        <f t="shared" si="23"/>
        <v>2023</v>
      </c>
      <c r="E495" s="3">
        <v>45187</v>
      </c>
      <c r="F495" s="4" t="s">
        <v>520</v>
      </c>
      <c r="G495" s="4" t="s">
        <v>19</v>
      </c>
      <c r="H495" s="4" t="str" cm="1">
        <f t="array" ref="H495">_xlfn.IFS(I495&lt;30, "Young Adult", I495&gt;=50, "Senior", I495&gt;=30, "Adult")</f>
        <v>Adult</v>
      </c>
      <c r="I495" s="4">
        <v>42</v>
      </c>
      <c r="J495" s="4" t="s">
        <v>17</v>
      </c>
      <c r="K495" s="4">
        <v>4</v>
      </c>
      <c r="L495" s="5">
        <v>50</v>
      </c>
      <c r="M495" s="5">
        <f>K495 * L495</f>
        <v>200</v>
      </c>
      <c r="N495" s="5">
        <f>M495 * $Q$4</f>
        <v>3</v>
      </c>
      <c r="O495" s="5">
        <f>M495* $Q$5</f>
        <v>4</v>
      </c>
    </row>
    <row r="496" spans="1:15">
      <c r="A496" s="2">
        <v>495</v>
      </c>
      <c r="B496" s="4">
        <f t="shared" si="21"/>
        <v>24</v>
      </c>
      <c r="C496" s="4">
        <f t="shared" si="22"/>
        <v>7</v>
      </c>
      <c r="D496" s="4">
        <f t="shared" si="23"/>
        <v>2023</v>
      </c>
      <c r="E496" s="3">
        <v>45131</v>
      </c>
      <c r="F496" s="4" t="s">
        <v>521</v>
      </c>
      <c r="G496" s="4" t="s">
        <v>16</v>
      </c>
      <c r="H496" s="4" t="str" cm="1">
        <f t="array" ref="H496">_xlfn.IFS(I496&lt;30, "Young Adult", I496&gt;=50, "Senior", I496&gt;=30, "Adult")</f>
        <v>Young Adult</v>
      </c>
      <c r="I496" s="4">
        <v>24</v>
      </c>
      <c r="J496" s="4" t="s">
        <v>17</v>
      </c>
      <c r="K496" s="4">
        <v>2</v>
      </c>
      <c r="L496" s="5">
        <v>30</v>
      </c>
      <c r="M496" s="5">
        <f>K496 * L496</f>
        <v>60</v>
      </c>
      <c r="N496" s="5">
        <f>M496 * $Q$4</f>
        <v>0.89999999999999991</v>
      </c>
      <c r="O496" s="5">
        <f>M496* $Q$5</f>
        <v>1.2</v>
      </c>
    </row>
    <row r="497" spans="1:15">
      <c r="A497" s="2">
        <v>496</v>
      </c>
      <c r="B497" s="4">
        <f t="shared" si="21"/>
        <v>14</v>
      </c>
      <c r="C497" s="4">
        <f t="shared" si="22"/>
        <v>12</v>
      </c>
      <c r="D497" s="4">
        <f t="shared" si="23"/>
        <v>2023</v>
      </c>
      <c r="E497" s="3">
        <v>45274</v>
      </c>
      <c r="F497" s="4" t="s">
        <v>522</v>
      </c>
      <c r="G497" s="4" t="s">
        <v>16</v>
      </c>
      <c r="H497" s="4" t="str" cm="1">
        <f t="array" ref="H497">_xlfn.IFS(I497&lt;30, "Young Adult", I497&gt;=50, "Senior", I497&gt;=30, "Adult")</f>
        <v>Young Adult</v>
      </c>
      <c r="I497" s="4">
        <v>23</v>
      </c>
      <c r="J497" s="4" t="s">
        <v>20</v>
      </c>
      <c r="K497" s="4">
        <v>2</v>
      </c>
      <c r="L497" s="5">
        <v>300</v>
      </c>
      <c r="M497" s="5">
        <f>K497 * L497</f>
        <v>600</v>
      </c>
      <c r="N497" s="5">
        <f>M497 * $Q$4</f>
        <v>9</v>
      </c>
      <c r="O497" s="5">
        <f>M497* $Q$5</f>
        <v>12</v>
      </c>
    </row>
    <row r="498" spans="1:15">
      <c r="A498" s="2">
        <v>497</v>
      </c>
      <c r="B498" s="4">
        <f t="shared" si="21"/>
        <v>2</v>
      </c>
      <c r="C498" s="4">
        <f t="shared" si="22"/>
        <v>10</v>
      </c>
      <c r="D498" s="4">
        <f t="shared" si="23"/>
        <v>2023</v>
      </c>
      <c r="E498" s="3">
        <v>45201</v>
      </c>
      <c r="F498" s="4" t="s">
        <v>523</v>
      </c>
      <c r="G498" s="4" t="s">
        <v>16</v>
      </c>
      <c r="H498" s="4" t="str" cm="1">
        <f t="array" ref="H498">_xlfn.IFS(I498&lt;30, "Young Adult", I498&gt;=50, "Senior", I498&gt;=30, "Adult")</f>
        <v>Adult</v>
      </c>
      <c r="I498" s="4">
        <v>41</v>
      </c>
      <c r="J498" s="4" t="s">
        <v>20</v>
      </c>
      <c r="K498" s="4">
        <v>4</v>
      </c>
      <c r="L498" s="5">
        <v>30</v>
      </c>
      <c r="M498" s="5">
        <f>K498 * L498</f>
        <v>120</v>
      </c>
      <c r="N498" s="5">
        <f>M498 * $Q$4</f>
        <v>1.7999999999999998</v>
      </c>
      <c r="O498" s="5">
        <f>M498* $Q$5</f>
        <v>2.4</v>
      </c>
    </row>
    <row r="499" spans="1:15">
      <c r="A499" s="2">
        <v>498</v>
      </c>
      <c r="B499" s="4">
        <f t="shared" si="21"/>
        <v>19</v>
      </c>
      <c r="C499" s="4">
        <f t="shared" si="22"/>
        <v>6</v>
      </c>
      <c r="D499" s="4">
        <f t="shared" si="23"/>
        <v>2023</v>
      </c>
      <c r="E499" s="3">
        <v>45096</v>
      </c>
      <c r="F499" s="4" t="s">
        <v>524</v>
      </c>
      <c r="G499" s="4" t="s">
        <v>19</v>
      </c>
      <c r="H499" s="4" t="str" cm="1">
        <f t="array" ref="H499">_xlfn.IFS(I499&lt;30, "Young Adult", I499&gt;=50, "Senior", I499&gt;=30, "Adult")</f>
        <v>Senior</v>
      </c>
      <c r="I499" s="4">
        <v>50</v>
      </c>
      <c r="J499" s="4" t="s">
        <v>20</v>
      </c>
      <c r="K499" s="4">
        <v>4</v>
      </c>
      <c r="L499" s="5">
        <v>25</v>
      </c>
      <c r="M499" s="5">
        <f>K499 * L499</f>
        <v>100</v>
      </c>
      <c r="N499" s="5">
        <f>M499 * $Q$4</f>
        <v>1.5</v>
      </c>
      <c r="O499" s="5">
        <f>M499* $Q$5</f>
        <v>2</v>
      </c>
    </row>
    <row r="500" spans="1:15">
      <c r="A500" s="2">
        <v>499</v>
      </c>
      <c r="B500" s="4">
        <f t="shared" si="21"/>
        <v>15</v>
      </c>
      <c r="C500" s="4">
        <f t="shared" si="22"/>
        <v>1</v>
      </c>
      <c r="D500" s="4">
        <f t="shared" si="23"/>
        <v>2023</v>
      </c>
      <c r="E500" s="3">
        <v>44941</v>
      </c>
      <c r="F500" s="4" t="s">
        <v>525</v>
      </c>
      <c r="G500" s="4" t="s">
        <v>16</v>
      </c>
      <c r="H500" s="4" t="str" cm="1">
        <f t="array" ref="H500">_xlfn.IFS(I500&lt;30, "Young Adult", I500&gt;=50, "Senior", I500&gt;=30, "Adult")</f>
        <v>Adult</v>
      </c>
      <c r="I500" s="4">
        <v>46</v>
      </c>
      <c r="J500" s="4" t="s">
        <v>17</v>
      </c>
      <c r="K500" s="4">
        <v>2</v>
      </c>
      <c r="L500" s="5">
        <v>30</v>
      </c>
      <c r="M500" s="5">
        <f>K500 * L500</f>
        <v>60</v>
      </c>
      <c r="N500" s="5">
        <f>M500 * $Q$4</f>
        <v>0.89999999999999991</v>
      </c>
      <c r="O500" s="5">
        <f>M500* $Q$5</f>
        <v>1.2</v>
      </c>
    </row>
    <row r="501" spans="1:15">
      <c r="A501" s="2">
        <v>500</v>
      </c>
      <c r="B501" s="4">
        <f t="shared" si="21"/>
        <v>1</v>
      </c>
      <c r="C501" s="4">
        <f t="shared" si="22"/>
        <v>3</v>
      </c>
      <c r="D501" s="4">
        <f t="shared" si="23"/>
        <v>2023</v>
      </c>
      <c r="E501" s="3">
        <v>44986</v>
      </c>
      <c r="F501" s="4" t="s">
        <v>526</v>
      </c>
      <c r="G501" s="4" t="s">
        <v>19</v>
      </c>
      <c r="H501" s="4" t="str" cm="1">
        <f t="array" ref="H501">_xlfn.IFS(I501&lt;30, "Young Adult", I501&gt;=50, "Senior", I501&gt;=30, "Adult")</f>
        <v>Senior</v>
      </c>
      <c r="I501" s="4">
        <v>60</v>
      </c>
      <c r="J501" s="4" t="s">
        <v>17</v>
      </c>
      <c r="K501" s="4">
        <v>4</v>
      </c>
      <c r="L501" s="5">
        <v>25</v>
      </c>
      <c r="M501" s="5">
        <f>K501 * L501</f>
        <v>100</v>
      </c>
      <c r="N501" s="5">
        <f>M501 * $Q$4</f>
        <v>1.5</v>
      </c>
      <c r="O501" s="5">
        <f>M501* $Q$5</f>
        <v>2</v>
      </c>
    </row>
    <row r="502" spans="1:15">
      <c r="A502" s="2">
        <v>501</v>
      </c>
      <c r="B502" s="4">
        <f t="shared" si="21"/>
        <v>14</v>
      </c>
      <c r="C502" s="4">
        <f t="shared" si="22"/>
        <v>5</v>
      </c>
      <c r="D502" s="4">
        <f t="shared" si="23"/>
        <v>2023</v>
      </c>
      <c r="E502" s="3">
        <v>45060</v>
      </c>
      <c r="F502" s="4" t="s">
        <v>527</v>
      </c>
      <c r="G502" s="4" t="s">
        <v>16</v>
      </c>
      <c r="H502" s="4" t="str" cm="1">
        <f t="array" ref="H502">_xlfn.IFS(I502&lt;30, "Young Adult", I502&gt;=50, "Senior", I502&gt;=30, "Adult")</f>
        <v>Adult</v>
      </c>
      <c r="I502" s="4">
        <v>39</v>
      </c>
      <c r="J502" s="4" t="s">
        <v>24</v>
      </c>
      <c r="K502" s="4">
        <v>2</v>
      </c>
      <c r="L502" s="5">
        <v>30</v>
      </c>
      <c r="M502" s="5">
        <f>K502 * L502</f>
        <v>60</v>
      </c>
      <c r="N502" s="5">
        <f>M502 * $Q$4</f>
        <v>0.89999999999999991</v>
      </c>
      <c r="O502" s="5">
        <f>M502* $Q$5</f>
        <v>1.2</v>
      </c>
    </row>
    <row r="503" spans="1:15">
      <c r="A503" s="2">
        <v>502</v>
      </c>
      <c r="B503" s="4">
        <f t="shared" si="21"/>
        <v>2</v>
      </c>
      <c r="C503" s="4">
        <f t="shared" si="22"/>
        <v>4</v>
      </c>
      <c r="D503" s="4">
        <f t="shared" si="23"/>
        <v>2023</v>
      </c>
      <c r="E503" s="3">
        <v>45018</v>
      </c>
      <c r="F503" s="4" t="s">
        <v>528</v>
      </c>
      <c r="G503" s="4" t="s">
        <v>16</v>
      </c>
      <c r="H503" s="4" t="str" cm="1">
        <f t="array" ref="H503">_xlfn.IFS(I503&lt;30, "Young Adult", I503&gt;=50, "Senior", I503&gt;=30, "Adult")</f>
        <v>Adult</v>
      </c>
      <c r="I503" s="4">
        <v>43</v>
      </c>
      <c r="J503" s="4" t="s">
        <v>24</v>
      </c>
      <c r="K503" s="4">
        <v>3</v>
      </c>
      <c r="L503" s="5">
        <v>50</v>
      </c>
      <c r="M503" s="5">
        <f>K503 * L503</f>
        <v>150</v>
      </c>
      <c r="N503" s="5">
        <f>M503 * $Q$4</f>
        <v>2.25</v>
      </c>
      <c r="O503" s="5">
        <f>M503* $Q$5</f>
        <v>3</v>
      </c>
    </row>
    <row r="504" spans="1:15">
      <c r="A504" s="2">
        <v>503</v>
      </c>
      <c r="B504" s="4">
        <f t="shared" si="21"/>
        <v>25</v>
      </c>
      <c r="C504" s="4">
        <f t="shared" si="22"/>
        <v>10</v>
      </c>
      <c r="D504" s="4">
        <f t="shared" si="23"/>
        <v>2023</v>
      </c>
      <c r="E504" s="3">
        <v>45224</v>
      </c>
      <c r="F504" s="4" t="s">
        <v>529</v>
      </c>
      <c r="G504" s="4" t="s">
        <v>16</v>
      </c>
      <c r="H504" s="4" t="str" cm="1">
        <f t="array" ref="H504">_xlfn.IFS(I504&lt;30, "Young Adult", I504&gt;=50, "Senior", I504&gt;=30, "Adult")</f>
        <v>Adult</v>
      </c>
      <c r="I504" s="4">
        <v>45</v>
      </c>
      <c r="J504" s="4" t="s">
        <v>17</v>
      </c>
      <c r="K504" s="4">
        <v>4</v>
      </c>
      <c r="L504" s="5">
        <v>500</v>
      </c>
      <c r="M504" s="5">
        <f>K504 * L504</f>
        <v>2000</v>
      </c>
      <c r="N504" s="5">
        <f>M504 * $Q$4</f>
        <v>30</v>
      </c>
      <c r="O504" s="5">
        <f>M504* $Q$5</f>
        <v>40</v>
      </c>
    </row>
    <row r="505" spans="1:15">
      <c r="A505" s="2">
        <v>504</v>
      </c>
      <c r="B505" s="4">
        <f t="shared" si="21"/>
        <v>16</v>
      </c>
      <c r="C505" s="4">
        <f t="shared" si="22"/>
        <v>5</v>
      </c>
      <c r="D505" s="4">
        <f t="shared" si="23"/>
        <v>2023</v>
      </c>
      <c r="E505" s="3">
        <v>45062</v>
      </c>
      <c r="F505" s="4" t="s">
        <v>530</v>
      </c>
      <c r="G505" s="4" t="s">
        <v>19</v>
      </c>
      <c r="H505" s="4" t="str" cm="1">
        <f t="array" ref="H505">_xlfn.IFS(I505&lt;30, "Young Adult", I505&gt;=50, "Senior", I505&gt;=30, "Adult")</f>
        <v>Adult</v>
      </c>
      <c r="I505" s="4">
        <v>38</v>
      </c>
      <c r="J505" s="4" t="s">
        <v>17</v>
      </c>
      <c r="K505" s="4">
        <v>3</v>
      </c>
      <c r="L505" s="5">
        <v>50</v>
      </c>
      <c r="M505" s="5">
        <f>K505 * L505</f>
        <v>150</v>
      </c>
      <c r="N505" s="5">
        <f>M505 * $Q$4</f>
        <v>2.25</v>
      </c>
      <c r="O505" s="5">
        <f>M505* $Q$5</f>
        <v>3</v>
      </c>
    </row>
    <row r="506" spans="1:15">
      <c r="A506" s="2">
        <v>505</v>
      </c>
      <c r="B506" s="4">
        <f t="shared" si="21"/>
        <v>20</v>
      </c>
      <c r="C506" s="4">
        <f t="shared" si="22"/>
        <v>1</v>
      </c>
      <c r="D506" s="4">
        <f t="shared" si="23"/>
        <v>2023</v>
      </c>
      <c r="E506" s="3">
        <v>44946</v>
      </c>
      <c r="F506" s="4" t="s">
        <v>531</v>
      </c>
      <c r="G506" s="4" t="s">
        <v>16</v>
      </c>
      <c r="H506" s="4" t="str" cm="1">
        <f t="array" ref="H506">_xlfn.IFS(I506&lt;30, "Young Adult", I506&gt;=50, "Senior", I506&gt;=30, "Adult")</f>
        <v>Young Adult</v>
      </c>
      <c r="I506" s="4">
        <v>24</v>
      </c>
      <c r="J506" s="4" t="s">
        <v>17</v>
      </c>
      <c r="K506" s="4">
        <v>1</v>
      </c>
      <c r="L506" s="5">
        <v>50</v>
      </c>
      <c r="M506" s="5">
        <f>K506 * L506</f>
        <v>50</v>
      </c>
      <c r="N506" s="5">
        <f>M506 * $Q$4</f>
        <v>0.75</v>
      </c>
      <c r="O506" s="5">
        <f>M506* $Q$5</f>
        <v>1</v>
      </c>
    </row>
    <row r="507" spans="1:15">
      <c r="A507" s="2">
        <v>506</v>
      </c>
      <c r="B507" s="4">
        <f t="shared" si="21"/>
        <v>25</v>
      </c>
      <c r="C507" s="4">
        <f t="shared" si="22"/>
        <v>2</v>
      </c>
      <c r="D507" s="4">
        <f t="shared" si="23"/>
        <v>2023</v>
      </c>
      <c r="E507" s="3">
        <v>44982</v>
      </c>
      <c r="F507" s="4" t="s">
        <v>532</v>
      </c>
      <c r="G507" s="4" t="s">
        <v>16</v>
      </c>
      <c r="H507" s="4" t="str" cm="1">
        <f t="array" ref="H507">_xlfn.IFS(I507&lt;30, "Young Adult", I507&gt;=50, "Senior", I507&gt;=30, "Adult")</f>
        <v>Adult</v>
      </c>
      <c r="I507" s="4">
        <v>34</v>
      </c>
      <c r="J507" s="4" t="s">
        <v>17</v>
      </c>
      <c r="K507" s="4">
        <v>3</v>
      </c>
      <c r="L507" s="5">
        <v>500</v>
      </c>
      <c r="M507" s="5">
        <f>K507 * L507</f>
        <v>1500</v>
      </c>
      <c r="N507" s="5">
        <f>M507 * $Q$4</f>
        <v>22.5</v>
      </c>
      <c r="O507" s="5">
        <f>M507* $Q$5</f>
        <v>30</v>
      </c>
    </row>
    <row r="508" spans="1:15">
      <c r="A508" s="2">
        <v>507</v>
      </c>
      <c r="B508" s="4">
        <f t="shared" si="21"/>
        <v>2</v>
      </c>
      <c r="C508" s="4">
        <f t="shared" si="22"/>
        <v>11</v>
      </c>
      <c r="D508" s="4">
        <f t="shared" si="23"/>
        <v>2023</v>
      </c>
      <c r="E508" s="3">
        <v>45232</v>
      </c>
      <c r="F508" s="4" t="s">
        <v>533</v>
      </c>
      <c r="G508" s="4" t="s">
        <v>19</v>
      </c>
      <c r="H508" s="4" t="str" cm="1">
        <f t="array" ref="H508">_xlfn.IFS(I508&lt;30, "Young Adult", I508&gt;=50, "Senior", I508&gt;=30, "Adult")</f>
        <v>Adult</v>
      </c>
      <c r="I508" s="4">
        <v>37</v>
      </c>
      <c r="J508" s="4" t="s">
        <v>24</v>
      </c>
      <c r="K508" s="4">
        <v>3</v>
      </c>
      <c r="L508" s="5">
        <v>500</v>
      </c>
      <c r="M508" s="5">
        <f>K508 * L508</f>
        <v>1500</v>
      </c>
      <c r="N508" s="5">
        <f>M508 * $Q$4</f>
        <v>22.5</v>
      </c>
      <c r="O508" s="5">
        <f>M508* $Q$5</f>
        <v>30</v>
      </c>
    </row>
    <row r="509" spans="1:15">
      <c r="A509" s="2">
        <v>508</v>
      </c>
      <c r="B509" s="4">
        <f t="shared" si="21"/>
        <v>11</v>
      </c>
      <c r="C509" s="4">
        <f t="shared" si="22"/>
        <v>8</v>
      </c>
      <c r="D509" s="4">
        <f t="shared" si="23"/>
        <v>2023</v>
      </c>
      <c r="E509" s="3">
        <v>45149</v>
      </c>
      <c r="F509" s="4" t="s">
        <v>534</v>
      </c>
      <c r="G509" s="4" t="s">
        <v>16</v>
      </c>
      <c r="H509" s="4" t="str" cm="1">
        <f t="array" ref="H509">_xlfn.IFS(I509&lt;30, "Young Adult", I509&gt;=50, "Senior", I509&gt;=30, "Adult")</f>
        <v>Senior</v>
      </c>
      <c r="I509" s="4">
        <v>58</v>
      </c>
      <c r="J509" s="4" t="s">
        <v>17</v>
      </c>
      <c r="K509" s="4">
        <v>2</v>
      </c>
      <c r="L509" s="5">
        <v>300</v>
      </c>
      <c r="M509" s="5">
        <f>K509 * L509</f>
        <v>600</v>
      </c>
      <c r="N509" s="5">
        <f>M509 * $Q$4</f>
        <v>9</v>
      </c>
      <c r="O509" s="5">
        <f>M509* $Q$5</f>
        <v>12</v>
      </c>
    </row>
    <row r="510" spans="1:15">
      <c r="A510" s="2">
        <v>509</v>
      </c>
      <c r="B510" s="4">
        <f t="shared" si="21"/>
        <v>26</v>
      </c>
      <c r="C510" s="4">
        <f t="shared" si="22"/>
        <v>6</v>
      </c>
      <c r="D510" s="4">
        <f t="shared" si="23"/>
        <v>2023</v>
      </c>
      <c r="E510" s="3">
        <v>45103</v>
      </c>
      <c r="F510" s="4" t="s">
        <v>535</v>
      </c>
      <c r="G510" s="4" t="s">
        <v>19</v>
      </c>
      <c r="H510" s="4" t="str" cm="1">
        <f t="array" ref="H510">_xlfn.IFS(I510&lt;30, "Young Adult", I510&gt;=50, "Senior", I510&gt;=30, "Adult")</f>
        <v>Adult</v>
      </c>
      <c r="I510" s="4">
        <v>37</v>
      </c>
      <c r="J510" s="4" t="s">
        <v>24</v>
      </c>
      <c r="K510" s="4">
        <v>3</v>
      </c>
      <c r="L510" s="5">
        <v>300</v>
      </c>
      <c r="M510" s="5">
        <f>K510 * L510</f>
        <v>900</v>
      </c>
      <c r="N510" s="5">
        <f>M510 * $Q$4</f>
        <v>13.5</v>
      </c>
      <c r="O510" s="5">
        <f>M510* $Q$5</f>
        <v>18</v>
      </c>
    </row>
    <row r="511" spans="1:15">
      <c r="A511" s="2">
        <v>510</v>
      </c>
      <c r="B511" s="4">
        <f t="shared" si="21"/>
        <v>10</v>
      </c>
      <c r="C511" s="4">
        <f t="shared" si="22"/>
        <v>6</v>
      </c>
      <c r="D511" s="4">
        <f t="shared" si="23"/>
        <v>2023</v>
      </c>
      <c r="E511" s="3">
        <v>45087</v>
      </c>
      <c r="F511" s="4" t="s">
        <v>536</v>
      </c>
      <c r="G511" s="4" t="s">
        <v>19</v>
      </c>
      <c r="H511" s="4" t="str" cm="1">
        <f t="array" ref="H511">_xlfn.IFS(I511&lt;30, "Young Adult", I511&gt;=50, "Senior", I511&gt;=30, "Adult")</f>
        <v>Adult</v>
      </c>
      <c r="I511" s="4">
        <v>39</v>
      </c>
      <c r="J511" s="4" t="s">
        <v>17</v>
      </c>
      <c r="K511" s="4">
        <v>4</v>
      </c>
      <c r="L511" s="5">
        <v>50</v>
      </c>
      <c r="M511" s="5">
        <f>K511 * L511</f>
        <v>200</v>
      </c>
      <c r="N511" s="5">
        <f>M511 * $Q$4</f>
        <v>3</v>
      </c>
      <c r="O511" s="5">
        <f>M511* $Q$5</f>
        <v>4</v>
      </c>
    </row>
    <row r="512" spans="1:15">
      <c r="A512" s="2">
        <v>511</v>
      </c>
      <c r="B512" s="4">
        <f t="shared" si="21"/>
        <v>12</v>
      </c>
      <c r="C512" s="4">
        <f t="shared" si="22"/>
        <v>8</v>
      </c>
      <c r="D512" s="4">
        <f t="shared" si="23"/>
        <v>2023</v>
      </c>
      <c r="E512" s="3">
        <v>45150</v>
      </c>
      <c r="F512" s="4" t="s">
        <v>537</v>
      </c>
      <c r="G512" s="4" t="s">
        <v>16</v>
      </c>
      <c r="H512" s="4" t="str" cm="1">
        <f t="array" ref="H512">_xlfn.IFS(I512&lt;30, "Young Adult", I512&gt;=50, "Senior", I512&gt;=30, "Adult")</f>
        <v>Adult</v>
      </c>
      <c r="I512" s="4">
        <v>45</v>
      </c>
      <c r="J512" s="4" t="s">
        <v>17</v>
      </c>
      <c r="K512" s="4">
        <v>2</v>
      </c>
      <c r="L512" s="5">
        <v>50</v>
      </c>
      <c r="M512" s="5">
        <f>K512 * L512</f>
        <v>100</v>
      </c>
      <c r="N512" s="5">
        <f>M512 * $Q$4</f>
        <v>1.5</v>
      </c>
      <c r="O512" s="5">
        <f>M512* $Q$5</f>
        <v>2</v>
      </c>
    </row>
    <row r="513" spans="1:15">
      <c r="A513" s="2">
        <v>512</v>
      </c>
      <c r="B513" s="4">
        <f t="shared" si="21"/>
        <v>7</v>
      </c>
      <c r="C513" s="4">
        <f t="shared" si="22"/>
        <v>11</v>
      </c>
      <c r="D513" s="4">
        <f t="shared" si="23"/>
        <v>2023</v>
      </c>
      <c r="E513" s="3">
        <v>45237</v>
      </c>
      <c r="F513" s="4" t="s">
        <v>538</v>
      </c>
      <c r="G513" s="4" t="s">
        <v>19</v>
      </c>
      <c r="H513" s="4" t="str" cm="1">
        <f t="array" ref="H513">_xlfn.IFS(I513&lt;30, "Young Adult", I513&gt;=50, "Senior", I513&gt;=30, "Adult")</f>
        <v>Senior</v>
      </c>
      <c r="I513" s="4">
        <v>57</v>
      </c>
      <c r="J513" s="4" t="s">
        <v>17</v>
      </c>
      <c r="K513" s="4">
        <v>1</v>
      </c>
      <c r="L513" s="5">
        <v>25</v>
      </c>
      <c r="M513" s="5">
        <f>K513 * L513</f>
        <v>25</v>
      </c>
      <c r="N513" s="5">
        <f>M513 * $Q$4</f>
        <v>0.375</v>
      </c>
      <c r="O513" s="5">
        <f>M513* $Q$5</f>
        <v>0.5</v>
      </c>
    </row>
    <row r="514" spans="1:15">
      <c r="A514" s="2">
        <v>513</v>
      </c>
      <c r="B514" s="4">
        <f t="shared" si="21"/>
        <v>19</v>
      </c>
      <c r="C514" s="4">
        <f t="shared" si="22"/>
        <v>9</v>
      </c>
      <c r="D514" s="4">
        <f t="shared" si="23"/>
        <v>2023</v>
      </c>
      <c r="E514" s="3">
        <v>45188</v>
      </c>
      <c r="F514" s="4" t="s">
        <v>539</v>
      </c>
      <c r="G514" s="4" t="s">
        <v>16</v>
      </c>
      <c r="H514" s="4" t="str" cm="1">
        <f t="array" ref="H514">_xlfn.IFS(I514&lt;30, "Young Adult", I514&gt;=50, "Senior", I514&gt;=30, "Adult")</f>
        <v>Young Adult</v>
      </c>
      <c r="I514" s="4">
        <v>24</v>
      </c>
      <c r="J514" s="4" t="s">
        <v>24</v>
      </c>
      <c r="K514" s="4">
        <v>4</v>
      </c>
      <c r="L514" s="5">
        <v>25</v>
      </c>
      <c r="M514" s="5">
        <f>K514 * L514</f>
        <v>100</v>
      </c>
      <c r="N514" s="5">
        <f>M514 * $Q$4</f>
        <v>1.5</v>
      </c>
      <c r="O514" s="5">
        <f>M514* $Q$5</f>
        <v>2</v>
      </c>
    </row>
    <row r="515" spans="1:15">
      <c r="A515" s="2">
        <v>514</v>
      </c>
      <c r="B515" s="4">
        <f t="shared" ref="B515:B578" si="24">DAY(E515)</f>
        <v>1</v>
      </c>
      <c r="C515" s="4">
        <f t="shared" ref="C515:C578" si="25">MONTH(E515)</f>
        <v>3</v>
      </c>
      <c r="D515" s="4">
        <f t="shared" ref="D515:D578" si="26">YEAR(E515)</f>
        <v>2023</v>
      </c>
      <c r="E515" s="3">
        <v>44986</v>
      </c>
      <c r="F515" s="4" t="s">
        <v>540</v>
      </c>
      <c r="G515" s="4" t="s">
        <v>19</v>
      </c>
      <c r="H515" s="4" t="str" cm="1">
        <f t="array" ref="H515">_xlfn.IFS(I515&lt;30, "Young Adult", I515&gt;=50, "Senior", I515&gt;=30, "Adult")</f>
        <v>Young Adult</v>
      </c>
      <c r="I515" s="4">
        <v>18</v>
      </c>
      <c r="J515" s="4" t="s">
        <v>24</v>
      </c>
      <c r="K515" s="4">
        <v>1</v>
      </c>
      <c r="L515" s="5">
        <v>300</v>
      </c>
      <c r="M515" s="5">
        <f>K515 * L515</f>
        <v>300</v>
      </c>
      <c r="N515" s="5">
        <f>M515 * $Q$4</f>
        <v>4.5</v>
      </c>
      <c r="O515" s="5">
        <f>M515* $Q$5</f>
        <v>6</v>
      </c>
    </row>
    <row r="516" spans="1:15">
      <c r="A516" s="2">
        <v>515</v>
      </c>
      <c r="B516" s="4">
        <f t="shared" si="24"/>
        <v>17</v>
      </c>
      <c r="C516" s="4">
        <f t="shared" si="25"/>
        <v>7</v>
      </c>
      <c r="D516" s="4">
        <f t="shared" si="26"/>
        <v>2023</v>
      </c>
      <c r="E516" s="3">
        <v>45124</v>
      </c>
      <c r="F516" s="4" t="s">
        <v>541</v>
      </c>
      <c r="G516" s="4" t="s">
        <v>19</v>
      </c>
      <c r="H516" s="4" t="str" cm="1">
        <f t="array" ref="H516">_xlfn.IFS(I516&lt;30, "Young Adult", I516&gt;=50, "Senior", I516&gt;=30, "Adult")</f>
        <v>Adult</v>
      </c>
      <c r="I516" s="4">
        <v>49</v>
      </c>
      <c r="J516" s="4" t="s">
        <v>20</v>
      </c>
      <c r="K516" s="4">
        <v>3</v>
      </c>
      <c r="L516" s="5">
        <v>300</v>
      </c>
      <c r="M516" s="5">
        <f>K516 * L516</f>
        <v>900</v>
      </c>
      <c r="N516" s="5">
        <f>M516 * $Q$4</f>
        <v>13.5</v>
      </c>
      <c r="O516" s="5">
        <f>M516* $Q$5</f>
        <v>18</v>
      </c>
    </row>
    <row r="517" spans="1:15">
      <c r="A517" s="2">
        <v>516</v>
      </c>
      <c r="B517" s="4">
        <f t="shared" si="24"/>
        <v>23</v>
      </c>
      <c r="C517" s="4">
        <f t="shared" si="25"/>
        <v>10</v>
      </c>
      <c r="D517" s="4">
        <f t="shared" si="26"/>
        <v>2023</v>
      </c>
      <c r="E517" s="3">
        <v>45222</v>
      </c>
      <c r="F517" s="4" t="s">
        <v>542</v>
      </c>
      <c r="G517" s="4" t="s">
        <v>16</v>
      </c>
      <c r="H517" s="4" t="str" cm="1">
        <f t="array" ref="H517">_xlfn.IFS(I517&lt;30, "Young Adult", I517&gt;=50, "Senior", I517&gt;=30, "Adult")</f>
        <v>Adult</v>
      </c>
      <c r="I517" s="4">
        <v>30</v>
      </c>
      <c r="J517" s="4" t="s">
        <v>17</v>
      </c>
      <c r="K517" s="4">
        <v>4</v>
      </c>
      <c r="L517" s="5">
        <v>25</v>
      </c>
      <c r="M517" s="5">
        <f>K517 * L517</f>
        <v>100</v>
      </c>
      <c r="N517" s="5">
        <f>M517 * $Q$4</f>
        <v>1.5</v>
      </c>
      <c r="O517" s="5">
        <f>M517* $Q$5</f>
        <v>2</v>
      </c>
    </row>
    <row r="518" spans="1:15">
      <c r="A518" s="2">
        <v>517</v>
      </c>
      <c r="B518" s="4">
        <f t="shared" si="24"/>
        <v>8</v>
      </c>
      <c r="C518" s="4">
        <f t="shared" si="25"/>
        <v>4</v>
      </c>
      <c r="D518" s="4">
        <f t="shared" si="26"/>
        <v>2023</v>
      </c>
      <c r="E518" s="3">
        <v>45024</v>
      </c>
      <c r="F518" s="4" t="s">
        <v>543</v>
      </c>
      <c r="G518" s="4" t="s">
        <v>19</v>
      </c>
      <c r="H518" s="4" t="str" cm="1">
        <f t="array" ref="H518">_xlfn.IFS(I518&lt;30, "Young Adult", I518&gt;=50, "Senior", I518&gt;=30, "Adult")</f>
        <v>Adult</v>
      </c>
      <c r="I518" s="4">
        <v>47</v>
      </c>
      <c r="J518" s="4" t="s">
        <v>20</v>
      </c>
      <c r="K518" s="4">
        <v>4</v>
      </c>
      <c r="L518" s="5">
        <v>25</v>
      </c>
      <c r="M518" s="5">
        <f>K518 * L518</f>
        <v>100</v>
      </c>
      <c r="N518" s="5">
        <f>M518 * $Q$4</f>
        <v>1.5</v>
      </c>
      <c r="O518" s="5">
        <f>M518* $Q$5</f>
        <v>2</v>
      </c>
    </row>
    <row r="519" spans="1:15">
      <c r="A519" s="2">
        <v>518</v>
      </c>
      <c r="B519" s="4">
        <f t="shared" si="24"/>
        <v>11</v>
      </c>
      <c r="C519" s="4">
        <f t="shared" si="25"/>
        <v>5</v>
      </c>
      <c r="D519" s="4">
        <f t="shared" si="26"/>
        <v>2023</v>
      </c>
      <c r="E519" s="3">
        <v>45057</v>
      </c>
      <c r="F519" s="4" t="s">
        <v>544</v>
      </c>
      <c r="G519" s="4" t="s">
        <v>19</v>
      </c>
      <c r="H519" s="4" t="str" cm="1">
        <f t="array" ref="H519">_xlfn.IFS(I519&lt;30, "Young Adult", I519&gt;=50, "Senior", I519&gt;=30, "Adult")</f>
        <v>Adult</v>
      </c>
      <c r="I519" s="4">
        <v>40</v>
      </c>
      <c r="J519" s="4" t="s">
        <v>20</v>
      </c>
      <c r="K519" s="4">
        <v>1</v>
      </c>
      <c r="L519" s="5">
        <v>30</v>
      </c>
      <c r="M519" s="5">
        <f>K519 * L519</f>
        <v>30</v>
      </c>
      <c r="N519" s="5">
        <f>M519 * $Q$4</f>
        <v>0.44999999999999996</v>
      </c>
      <c r="O519" s="5">
        <f>M519* $Q$5</f>
        <v>0.6</v>
      </c>
    </row>
    <row r="520" spans="1:15">
      <c r="A520" s="2">
        <v>519</v>
      </c>
      <c r="B520" s="4">
        <f t="shared" si="24"/>
        <v>23</v>
      </c>
      <c r="C520" s="4">
        <f t="shared" si="25"/>
        <v>1</v>
      </c>
      <c r="D520" s="4">
        <f t="shared" si="26"/>
        <v>2023</v>
      </c>
      <c r="E520" s="3">
        <v>44949</v>
      </c>
      <c r="F520" s="4" t="s">
        <v>545</v>
      </c>
      <c r="G520" s="4" t="s">
        <v>19</v>
      </c>
      <c r="H520" s="4" t="str" cm="1">
        <f t="array" ref="H520">_xlfn.IFS(I520&lt;30, "Young Adult", I520&gt;=50, "Senior", I520&gt;=30, "Adult")</f>
        <v>Adult</v>
      </c>
      <c r="I520" s="4">
        <v>36</v>
      </c>
      <c r="J520" s="4" t="s">
        <v>24</v>
      </c>
      <c r="K520" s="4">
        <v>4</v>
      </c>
      <c r="L520" s="5">
        <v>30</v>
      </c>
      <c r="M520" s="5">
        <f>K520 * L520</f>
        <v>120</v>
      </c>
      <c r="N520" s="5">
        <f>M520 * $Q$4</f>
        <v>1.7999999999999998</v>
      </c>
      <c r="O520" s="5">
        <f>M520* $Q$5</f>
        <v>2.4</v>
      </c>
    </row>
    <row r="521" spans="1:15">
      <c r="A521" s="2">
        <v>520</v>
      </c>
      <c r="B521" s="4">
        <f t="shared" si="24"/>
        <v>29</v>
      </c>
      <c r="C521" s="4">
        <f t="shared" si="25"/>
        <v>12</v>
      </c>
      <c r="D521" s="4">
        <f t="shared" si="26"/>
        <v>2023</v>
      </c>
      <c r="E521" s="3">
        <v>45289</v>
      </c>
      <c r="F521" s="4" t="s">
        <v>546</v>
      </c>
      <c r="G521" s="4" t="s">
        <v>19</v>
      </c>
      <c r="H521" s="4" t="str" cm="1">
        <f t="array" ref="H521">_xlfn.IFS(I521&lt;30, "Young Adult", I521&gt;=50, "Senior", I521&gt;=30, "Adult")</f>
        <v>Adult</v>
      </c>
      <c r="I521" s="4">
        <v>49</v>
      </c>
      <c r="J521" s="4" t="s">
        <v>24</v>
      </c>
      <c r="K521" s="4">
        <v>4</v>
      </c>
      <c r="L521" s="5">
        <v>25</v>
      </c>
      <c r="M521" s="5">
        <f>K521 * L521</f>
        <v>100</v>
      </c>
      <c r="N521" s="5">
        <f>M521 * $Q$4</f>
        <v>1.5</v>
      </c>
      <c r="O521" s="5">
        <f>M521* $Q$5</f>
        <v>2</v>
      </c>
    </row>
    <row r="522" spans="1:15">
      <c r="A522" s="2">
        <v>521</v>
      </c>
      <c r="B522" s="4">
        <f t="shared" si="24"/>
        <v>12</v>
      </c>
      <c r="C522" s="4">
        <f t="shared" si="25"/>
        <v>8</v>
      </c>
      <c r="D522" s="4">
        <f t="shared" si="26"/>
        <v>2023</v>
      </c>
      <c r="E522" s="3">
        <v>45150</v>
      </c>
      <c r="F522" s="4" t="s">
        <v>547</v>
      </c>
      <c r="G522" s="4" t="s">
        <v>19</v>
      </c>
      <c r="H522" s="4" t="str" cm="1">
        <f t="array" ref="H522">_xlfn.IFS(I522&lt;30, "Young Adult", I522&gt;=50, "Senior", I522&gt;=30, "Adult")</f>
        <v>Adult</v>
      </c>
      <c r="I522" s="4">
        <v>47</v>
      </c>
      <c r="J522" s="4" t="s">
        <v>20</v>
      </c>
      <c r="K522" s="4">
        <v>4</v>
      </c>
      <c r="L522" s="5">
        <v>30</v>
      </c>
      <c r="M522" s="5">
        <f>K522 * L522</f>
        <v>120</v>
      </c>
      <c r="N522" s="5">
        <f>M522 * $Q$4</f>
        <v>1.7999999999999998</v>
      </c>
      <c r="O522" s="5">
        <f>M522* $Q$5</f>
        <v>2.4</v>
      </c>
    </row>
    <row r="523" spans="1:15">
      <c r="A523" s="2">
        <v>522</v>
      </c>
      <c r="B523" s="4">
        <f t="shared" si="24"/>
        <v>1</v>
      </c>
      <c r="C523" s="4">
        <f t="shared" si="25"/>
        <v>1</v>
      </c>
      <c r="D523" s="4">
        <f t="shared" si="26"/>
        <v>2023</v>
      </c>
      <c r="E523" s="3">
        <v>44927</v>
      </c>
      <c r="F523" s="4" t="s">
        <v>548</v>
      </c>
      <c r="G523" s="4" t="s">
        <v>16</v>
      </c>
      <c r="H523" s="4" t="str" cm="1">
        <f t="array" ref="H523">_xlfn.IFS(I523&lt;30, "Young Adult", I523&gt;=50, "Senior", I523&gt;=30, "Adult")</f>
        <v>Adult</v>
      </c>
      <c r="I523" s="4">
        <v>46</v>
      </c>
      <c r="J523" s="4" t="s">
        <v>17</v>
      </c>
      <c r="K523" s="4">
        <v>3</v>
      </c>
      <c r="L523" s="5">
        <v>500</v>
      </c>
      <c r="M523" s="5">
        <f>K523 * L523</f>
        <v>1500</v>
      </c>
      <c r="N523" s="5">
        <f>M523 * $Q$4</f>
        <v>22.5</v>
      </c>
      <c r="O523" s="5">
        <f>M523* $Q$5</f>
        <v>30</v>
      </c>
    </row>
    <row r="524" spans="1:15">
      <c r="A524" s="2">
        <v>523</v>
      </c>
      <c r="B524" s="4">
        <f t="shared" si="24"/>
        <v>24</v>
      </c>
      <c r="C524" s="4">
        <f t="shared" si="25"/>
        <v>9</v>
      </c>
      <c r="D524" s="4">
        <f t="shared" si="26"/>
        <v>2023</v>
      </c>
      <c r="E524" s="3">
        <v>45193</v>
      </c>
      <c r="F524" s="4" t="s">
        <v>549</v>
      </c>
      <c r="G524" s="4" t="s">
        <v>19</v>
      </c>
      <c r="H524" s="4" t="str" cm="1">
        <f t="array" ref="H524">_xlfn.IFS(I524&lt;30, "Young Adult", I524&gt;=50, "Senior", I524&gt;=30, "Adult")</f>
        <v>Senior</v>
      </c>
      <c r="I524" s="4">
        <v>62</v>
      </c>
      <c r="J524" s="4" t="s">
        <v>24</v>
      </c>
      <c r="K524" s="4">
        <v>1</v>
      </c>
      <c r="L524" s="5">
        <v>300</v>
      </c>
      <c r="M524" s="5">
        <f>K524 * L524</f>
        <v>300</v>
      </c>
      <c r="N524" s="5">
        <f>M524 * $Q$4</f>
        <v>4.5</v>
      </c>
      <c r="O524" s="5">
        <f>M524* $Q$5</f>
        <v>6</v>
      </c>
    </row>
    <row r="525" spans="1:15">
      <c r="A525" s="2">
        <v>524</v>
      </c>
      <c r="B525" s="4">
        <f t="shared" si="24"/>
        <v>3</v>
      </c>
      <c r="C525" s="4">
        <f t="shared" si="25"/>
        <v>10</v>
      </c>
      <c r="D525" s="4">
        <f t="shared" si="26"/>
        <v>2023</v>
      </c>
      <c r="E525" s="3">
        <v>45202</v>
      </c>
      <c r="F525" s="4" t="s">
        <v>550</v>
      </c>
      <c r="G525" s="4" t="s">
        <v>16</v>
      </c>
      <c r="H525" s="4" t="str" cm="1">
        <f t="array" ref="H525">_xlfn.IFS(I525&lt;30, "Young Adult", I525&gt;=50, "Senior", I525&gt;=30, "Adult")</f>
        <v>Adult</v>
      </c>
      <c r="I525" s="4">
        <v>46</v>
      </c>
      <c r="J525" s="4" t="s">
        <v>17</v>
      </c>
      <c r="K525" s="4">
        <v>4</v>
      </c>
      <c r="L525" s="5">
        <v>300</v>
      </c>
      <c r="M525" s="5">
        <f>K525 * L525</f>
        <v>1200</v>
      </c>
      <c r="N525" s="5">
        <f>M525 * $Q$4</f>
        <v>18</v>
      </c>
      <c r="O525" s="5">
        <f>M525* $Q$5</f>
        <v>24</v>
      </c>
    </row>
    <row r="526" spans="1:15">
      <c r="A526" s="2">
        <v>525</v>
      </c>
      <c r="B526" s="4">
        <f t="shared" si="24"/>
        <v>18</v>
      </c>
      <c r="C526" s="4">
        <f t="shared" si="25"/>
        <v>12</v>
      </c>
      <c r="D526" s="4">
        <f t="shared" si="26"/>
        <v>2023</v>
      </c>
      <c r="E526" s="3">
        <v>45278</v>
      </c>
      <c r="F526" s="4" t="s">
        <v>551</v>
      </c>
      <c r="G526" s="4" t="s">
        <v>19</v>
      </c>
      <c r="H526" s="4" t="str" cm="1">
        <f t="array" ref="H526">_xlfn.IFS(I526&lt;30, "Young Adult", I526&gt;=50, "Senior", I526&gt;=30, "Adult")</f>
        <v>Adult</v>
      </c>
      <c r="I526" s="4">
        <v>47</v>
      </c>
      <c r="J526" s="4" t="s">
        <v>17</v>
      </c>
      <c r="K526" s="4">
        <v>2</v>
      </c>
      <c r="L526" s="5">
        <v>25</v>
      </c>
      <c r="M526" s="5">
        <f>K526 * L526</f>
        <v>50</v>
      </c>
      <c r="N526" s="5">
        <f>M526 * $Q$4</f>
        <v>0.75</v>
      </c>
      <c r="O526" s="5">
        <f>M526* $Q$5</f>
        <v>1</v>
      </c>
    </row>
    <row r="527" spans="1:15">
      <c r="A527" s="2">
        <v>526</v>
      </c>
      <c r="B527" s="4">
        <f t="shared" si="24"/>
        <v>10</v>
      </c>
      <c r="C527" s="4">
        <f t="shared" si="25"/>
        <v>12</v>
      </c>
      <c r="D527" s="4">
        <f t="shared" si="26"/>
        <v>2023</v>
      </c>
      <c r="E527" s="3">
        <v>45270</v>
      </c>
      <c r="F527" s="4" t="s">
        <v>552</v>
      </c>
      <c r="G527" s="4" t="s">
        <v>16</v>
      </c>
      <c r="H527" s="4" t="str" cm="1">
        <f t="array" ref="H527">_xlfn.IFS(I527&lt;30, "Young Adult", I527&gt;=50, "Senior", I527&gt;=30, "Adult")</f>
        <v>Adult</v>
      </c>
      <c r="I527" s="4">
        <v>33</v>
      </c>
      <c r="J527" s="4" t="s">
        <v>20</v>
      </c>
      <c r="K527" s="4">
        <v>2</v>
      </c>
      <c r="L527" s="5">
        <v>50</v>
      </c>
      <c r="M527" s="5">
        <f>K527 * L527</f>
        <v>100</v>
      </c>
      <c r="N527" s="5">
        <f>M527 * $Q$4</f>
        <v>1.5</v>
      </c>
      <c r="O527" s="5">
        <f>M527* $Q$5</f>
        <v>2</v>
      </c>
    </row>
    <row r="528" spans="1:15">
      <c r="A528" s="2">
        <v>527</v>
      </c>
      <c r="B528" s="4">
        <f t="shared" si="24"/>
        <v>11</v>
      </c>
      <c r="C528" s="4">
        <f t="shared" si="25"/>
        <v>4</v>
      </c>
      <c r="D528" s="4">
        <f t="shared" si="26"/>
        <v>2023</v>
      </c>
      <c r="E528" s="3">
        <v>45027</v>
      </c>
      <c r="F528" s="4" t="s">
        <v>553</v>
      </c>
      <c r="G528" s="4" t="s">
        <v>16</v>
      </c>
      <c r="H528" s="4" t="str" cm="1">
        <f t="array" ref="H528">_xlfn.IFS(I528&lt;30, "Young Adult", I528&gt;=50, "Senior", I528&gt;=30, "Adult")</f>
        <v>Senior</v>
      </c>
      <c r="I528" s="4">
        <v>57</v>
      </c>
      <c r="J528" s="4" t="s">
        <v>20</v>
      </c>
      <c r="K528" s="4">
        <v>2</v>
      </c>
      <c r="L528" s="5">
        <v>25</v>
      </c>
      <c r="M528" s="5">
        <f>K528 * L528</f>
        <v>50</v>
      </c>
      <c r="N528" s="5">
        <f>M528 * $Q$4</f>
        <v>0.75</v>
      </c>
      <c r="O528" s="5">
        <f>M528* $Q$5</f>
        <v>1</v>
      </c>
    </row>
    <row r="529" spans="1:15">
      <c r="A529" s="2">
        <v>528</v>
      </c>
      <c r="B529" s="4">
        <f t="shared" si="24"/>
        <v>6</v>
      </c>
      <c r="C529" s="4">
        <f t="shared" si="25"/>
        <v>7</v>
      </c>
      <c r="D529" s="4">
        <f t="shared" si="26"/>
        <v>2023</v>
      </c>
      <c r="E529" s="3">
        <v>45113</v>
      </c>
      <c r="F529" s="4" t="s">
        <v>554</v>
      </c>
      <c r="G529" s="4" t="s">
        <v>19</v>
      </c>
      <c r="H529" s="4" t="str" cm="1">
        <f t="array" ref="H529">_xlfn.IFS(I529&lt;30, "Young Adult", I529&gt;=50, "Senior", I529&gt;=30, "Adult")</f>
        <v>Adult</v>
      </c>
      <c r="I529" s="4">
        <v>36</v>
      </c>
      <c r="J529" s="4" t="s">
        <v>20</v>
      </c>
      <c r="K529" s="4">
        <v>2</v>
      </c>
      <c r="L529" s="5">
        <v>30</v>
      </c>
      <c r="M529" s="5">
        <f>K529 * L529</f>
        <v>60</v>
      </c>
      <c r="N529" s="5">
        <f>M529 * $Q$4</f>
        <v>0.89999999999999991</v>
      </c>
      <c r="O529" s="5">
        <f>M529* $Q$5</f>
        <v>1.2</v>
      </c>
    </row>
    <row r="530" spans="1:15">
      <c r="A530" s="2">
        <v>529</v>
      </c>
      <c r="B530" s="4">
        <f t="shared" si="24"/>
        <v>9</v>
      </c>
      <c r="C530" s="4">
        <f t="shared" si="25"/>
        <v>8</v>
      </c>
      <c r="D530" s="4">
        <f t="shared" si="26"/>
        <v>2023</v>
      </c>
      <c r="E530" s="3">
        <v>45147</v>
      </c>
      <c r="F530" s="4" t="s">
        <v>555</v>
      </c>
      <c r="G530" s="4" t="s">
        <v>19</v>
      </c>
      <c r="H530" s="4" t="str" cm="1">
        <f t="array" ref="H530">_xlfn.IFS(I530&lt;30, "Young Adult", I530&gt;=50, "Senior", I530&gt;=30, "Adult")</f>
        <v>Adult</v>
      </c>
      <c r="I530" s="4">
        <v>35</v>
      </c>
      <c r="J530" s="4" t="s">
        <v>20</v>
      </c>
      <c r="K530" s="4">
        <v>3</v>
      </c>
      <c r="L530" s="5">
        <v>50</v>
      </c>
      <c r="M530" s="5">
        <f>K530 * L530</f>
        <v>150</v>
      </c>
      <c r="N530" s="5">
        <f>M530 * $Q$4</f>
        <v>2.25</v>
      </c>
      <c r="O530" s="5">
        <f>M530* $Q$5</f>
        <v>3</v>
      </c>
    </row>
    <row r="531" spans="1:15">
      <c r="A531" s="2">
        <v>530</v>
      </c>
      <c r="B531" s="4">
        <f t="shared" si="24"/>
        <v>5</v>
      </c>
      <c r="C531" s="4">
        <f t="shared" si="25"/>
        <v>2</v>
      </c>
      <c r="D531" s="4">
        <f t="shared" si="26"/>
        <v>2023</v>
      </c>
      <c r="E531" s="3">
        <v>44962</v>
      </c>
      <c r="F531" s="4" t="s">
        <v>556</v>
      </c>
      <c r="G531" s="4" t="s">
        <v>19</v>
      </c>
      <c r="H531" s="4" t="str" cm="1">
        <f t="array" ref="H531">_xlfn.IFS(I531&lt;30, "Young Adult", I531&gt;=50, "Senior", I531&gt;=30, "Adult")</f>
        <v>Young Adult</v>
      </c>
      <c r="I531" s="4">
        <v>18</v>
      </c>
      <c r="J531" s="4" t="s">
        <v>24</v>
      </c>
      <c r="K531" s="4">
        <v>4</v>
      </c>
      <c r="L531" s="5">
        <v>30</v>
      </c>
      <c r="M531" s="5">
        <f>K531 * L531</f>
        <v>120</v>
      </c>
      <c r="N531" s="5">
        <f>M531 * $Q$4</f>
        <v>1.7999999999999998</v>
      </c>
      <c r="O531" s="5">
        <f>M531* $Q$5</f>
        <v>2.4</v>
      </c>
    </row>
    <row r="532" spans="1:15">
      <c r="A532" s="2">
        <v>531</v>
      </c>
      <c r="B532" s="4">
        <f t="shared" si="24"/>
        <v>7</v>
      </c>
      <c r="C532" s="4">
        <f t="shared" si="25"/>
        <v>12</v>
      </c>
      <c r="D532" s="4">
        <f t="shared" si="26"/>
        <v>2023</v>
      </c>
      <c r="E532" s="3">
        <v>45267</v>
      </c>
      <c r="F532" s="4" t="s">
        <v>557</v>
      </c>
      <c r="G532" s="4" t="s">
        <v>16</v>
      </c>
      <c r="H532" s="4" t="str" cm="1">
        <f t="array" ref="H532">_xlfn.IFS(I532&lt;30, "Young Adult", I532&gt;=50, "Senior", I532&gt;=30, "Adult")</f>
        <v>Adult</v>
      </c>
      <c r="I532" s="4">
        <v>31</v>
      </c>
      <c r="J532" s="4" t="s">
        <v>24</v>
      </c>
      <c r="K532" s="4">
        <v>1</v>
      </c>
      <c r="L532" s="5">
        <v>500</v>
      </c>
      <c r="M532" s="5">
        <f>K532 * L532</f>
        <v>500</v>
      </c>
      <c r="N532" s="5">
        <f>M532 * $Q$4</f>
        <v>7.5</v>
      </c>
      <c r="O532" s="5">
        <f>M532* $Q$5</f>
        <v>10</v>
      </c>
    </row>
    <row r="533" spans="1:15">
      <c r="A533" s="2">
        <v>532</v>
      </c>
      <c r="B533" s="4">
        <f t="shared" si="24"/>
        <v>19</v>
      </c>
      <c r="C533" s="4">
        <f t="shared" si="25"/>
        <v>6</v>
      </c>
      <c r="D533" s="4">
        <f t="shared" si="26"/>
        <v>2023</v>
      </c>
      <c r="E533" s="3">
        <v>45096</v>
      </c>
      <c r="F533" s="4" t="s">
        <v>558</v>
      </c>
      <c r="G533" s="4" t="s">
        <v>19</v>
      </c>
      <c r="H533" s="4" t="str" cm="1">
        <f t="array" ref="H533">_xlfn.IFS(I533&lt;30, "Young Adult", I533&gt;=50, "Senior", I533&gt;=30, "Adult")</f>
        <v>Senior</v>
      </c>
      <c r="I533" s="4">
        <v>64</v>
      </c>
      <c r="J533" s="4" t="s">
        <v>20</v>
      </c>
      <c r="K533" s="4">
        <v>4</v>
      </c>
      <c r="L533" s="5">
        <v>30</v>
      </c>
      <c r="M533" s="5">
        <f>K533 * L533</f>
        <v>120</v>
      </c>
      <c r="N533" s="5">
        <f>M533 * $Q$4</f>
        <v>1.7999999999999998</v>
      </c>
      <c r="O533" s="5">
        <f>M533* $Q$5</f>
        <v>2.4</v>
      </c>
    </row>
    <row r="534" spans="1:15">
      <c r="A534" s="2">
        <v>533</v>
      </c>
      <c r="B534" s="4">
        <f t="shared" si="24"/>
        <v>16</v>
      </c>
      <c r="C534" s="4">
        <f t="shared" si="25"/>
        <v>11</v>
      </c>
      <c r="D534" s="4">
        <f t="shared" si="26"/>
        <v>2023</v>
      </c>
      <c r="E534" s="3">
        <v>45246</v>
      </c>
      <c r="F534" s="4" t="s">
        <v>559</v>
      </c>
      <c r="G534" s="4" t="s">
        <v>16</v>
      </c>
      <c r="H534" s="4" t="str" cm="1">
        <f t="array" ref="H534">_xlfn.IFS(I534&lt;30, "Young Adult", I534&gt;=50, "Senior", I534&gt;=30, "Adult")</f>
        <v>Young Adult</v>
      </c>
      <c r="I534" s="4">
        <v>19</v>
      </c>
      <c r="J534" s="4" t="s">
        <v>24</v>
      </c>
      <c r="K534" s="4">
        <v>3</v>
      </c>
      <c r="L534" s="5">
        <v>500</v>
      </c>
      <c r="M534" s="5">
        <f>K534 * L534</f>
        <v>1500</v>
      </c>
      <c r="N534" s="5">
        <f>M534 * $Q$4</f>
        <v>22.5</v>
      </c>
      <c r="O534" s="5">
        <f>M534* $Q$5</f>
        <v>30</v>
      </c>
    </row>
    <row r="535" spans="1:15">
      <c r="A535" s="2">
        <v>534</v>
      </c>
      <c r="B535" s="4">
        <f t="shared" si="24"/>
        <v>10</v>
      </c>
      <c r="C535" s="4">
        <f t="shared" si="25"/>
        <v>6</v>
      </c>
      <c r="D535" s="4">
        <f t="shared" si="26"/>
        <v>2023</v>
      </c>
      <c r="E535" s="3">
        <v>45087</v>
      </c>
      <c r="F535" s="4" t="s">
        <v>560</v>
      </c>
      <c r="G535" s="4" t="s">
        <v>16</v>
      </c>
      <c r="H535" s="4" t="str" cm="1">
        <f t="array" ref="H535">_xlfn.IFS(I535&lt;30, "Young Adult", I535&gt;=50, "Senior", I535&gt;=30, "Adult")</f>
        <v>Adult</v>
      </c>
      <c r="I535" s="4">
        <v>45</v>
      </c>
      <c r="J535" s="4" t="s">
        <v>20</v>
      </c>
      <c r="K535" s="4">
        <v>2</v>
      </c>
      <c r="L535" s="5">
        <v>500</v>
      </c>
      <c r="M535" s="5">
        <f>K535 * L535</f>
        <v>1000</v>
      </c>
      <c r="N535" s="5">
        <f>M535 * $Q$4</f>
        <v>15</v>
      </c>
      <c r="O535" s="5">
        <f>M535* $Q$5</f>
        <v>20</v>
      </c>
    </row>
    <row r="536" spans="1:15">
      <c r="A536" s="2">
        <v>535</v>
      </c>
      <c r="B536" s="4">
        <f t="shared" si="24"/>
        <v>6</v>
      </c>
      <c r="C536" s="4">
        <f t="shared" si="25"/>
        <v>12</v>
      </c>
      <c r="D536" s="4">
        <f t="shared" si="26"/>
        <v>2023</v>
      </c>
      <c r="E536" s="3">
        <v>45266</v>
      </c>
      <c r="F536" s="4" t="s">
        <v>561</v>
      </c>
      <c r="G536" s="4" t="s">
        <v>16</v>
      </c>
      <c r="H536" s="4" t="str" cm="1">
        <f t="array" ref="H536">_xlfn.IFS(I536&lt;30, "Young Adult", I536&gt;=50, "Senior", I536&gt;=30, "Adult")</f>
        <v>Adult</v>
      </c>
      <c r="I536" s="4">
        <v>47</v>
      </c>
      <c r="J536" s="4" t="s">
        <v>17</v>
      </c>
      <c r="K536" s="4">
        <v>3</v>
      </c>
      <c r="L536" s="5">
        <v>30</v>
      </c>
      <c r="M536" s="5">
        <f>K536 * L536</f>
        <v>90</v>
      </c>
      <c r="N536" s="5">
        <f>M536 * $Q$4</f>
        <v>1.3499999999999999</v>
      </c>
      <c r="O536" s="5">
        <f>M536* $Q$5</f>
        <v>1.8</v>
      </c>
    </row>
    <row r="537" spans="1:15">
      <c r="A537" s="2">
        <v>536</v>
      </c>
      <c r="B537" s="4">
        <f t="shared" si="24"/>
        <v>5</v>
      </c>
      <c r="C537" s="4">
        <f t="shared" si="25"/>
        <v>3</v>
      </c>
      <c r="D537" s="4">
        <f t="shared" si="26"/>
        <v>2023</v>
      </c>
      <c r="E537" s="3">
        <v>44990</v>
      </c>
      <c r="F537" s="4" t="s">
        <v>562</v>
      </c>
      <c r="G537" s="4" t="s">
        <v>19</v>
      </c>
      <c r="H537" s="4" t="str" cm="1">
        <f t="array" ref="H537">_xlfn.IFS(I537&lt;30, "Young Adult", I537&gt;=50, "Senior", I537&gt;=30, "Adult")</f>
        <v>Senior</v>
      </c>
      <c r="I537" s="4">
        <v>55</v>
      </c>
      <c r="J537" s="4" t="s">
        <v>17</v>
      </c>
      <c r="K537" s="4">
        <v>4</v>
      </c>
      <c r="L537" s="5">
        <v>30</v>
      </c>
      <c r="M537" s="5">
        <f>K537 * L537</f>
        <v>120</v>
      </c>
      <c r="N537" s="5">
        <f>M537 * $Q$4</f>
        <v>1.7999999999999998</v>
      </c>
      <c r="O537" s="5">
        <f>M537* $Q$5</f>
        <v>2.4</v>
      </c>
    </row>
    <row r="538" spans="1:15">
      <c r="A538" s="2">
        <v>537</v>
      </c>
      <c r="B538" s="4">
        <f t="shared" si="24"/>
        <v>3</v>
      </c>
      <c r="C538" s="4">
        <f t="shared" si="25"/>
        <v>6</v>
      </c>
      <c r="D538" s="4">
        <f t="shared" si="26"/>
        <v>2023</v>
      </c>
      <c r="E538" s="3">
        <v>45080</v>
      </c>
      <c r="F538" s="4" t="s">
        <v>563</v>
      </c>
      <c r="G538" s="4" t="s">
        <v>19</v>
      </c>
      <c r="H538" s="4" t="str" cm="1">
        <f t="array" ref="H538">_xlfn.IFS(I538&lt;30, "Young Adult", I538&gt;=50, "Senior", I538&gt;=30, "Adult")</f>
        <v>Young Adult</v>
      </c>
      <c r="I538" s="4">
        <v>21</v>
      </c>
      <c r="J538" s="4" t="s">
        <v>17</v>
      </c>
      <c r="K538" s="4">
        <v>1</v>
      </c>
      <c r="L538" s="5">
        <v>500</v>
      </c>
      <c r="M538" s="5">
        <f>K538 * L538</f>
        <v>500</v>
      </c>
      <c r="N538" s="5">
        <f>M538 * $Q$4</f>
        <v>7.5</v>
      </c>
      <c r="O538" s="5">
        <f>M538* $Q$5</f>
        <v>10</v>
      </c>
    </row>
    <row r="539" spans="1:15">
      <c r="A539" s="2">
        <v>538</v>
      </c>
      <c r="B539" s="4">
        <f t="shared" si="24"/>
        <v>17</v>
      </c>
      <c r="C539" s="4">
        <f t="shared" si="25"/>
        <v>9</v>
      </c>
      <c r="D539" s="4">
        <f t="shared" si="26"/>
        <v>2023</v>
      </c>
      <c r="E539" s="3">
        <v>45186</v>
      </c>
      <c r="F539" s="4" t="s">
        <v>564</v>
      </c>
      <c r="G539" s="4" t="s">
        <v>16</v>
      </c>
      <c r="H539" s="4" t="str" cm="1">
        <f t="array" ref="H539">_xlfn.IFS(I539&lt;30, "Young Adult", I539&gt;=50, "Senior", I539&gt;=30, "Adult")</f>
        <v>Young Adult</v>
      </c>
      <c r="I539" s="4">
        <v>18</v>
      </c>
      <c r="J539" s="4" t="s">
        <v>20</v>
      </c>
      <c r="K539" s="4">
        <v>3</v>
      </c>
      <c r="L539" s="5">
        <v>50</v>
      </c>
      <c r="M539" s="5">
        <f>K539 * L539</f>
        <v>150</v>
      </c>
      <c r="N539" s="5">
        <f>M539 * $Q$4</f>
        <v>2.25</v>
      </c>
      <c r="O539" s="5">
        <f>M539* $Q$5</f>
        <v>3</v>
      </c>
    </row>
    <row r="540" spans="1:15">
      <c r="A540" s="2">
        <v>539</v>
      </c>
      <c r="B540" s="4">
        <f t="shared" si="24"/>
        <v>8</v>
      </c>
      <c r="C540" s="4">
        <f t="shared" si="25"/>
        <v>6</v>
      </c>
      <c r="D540" s="4">
        <f t="shared" si="26"/>
        <v>2023</v>
      </c>
      <c r="E540" s="3">
        <v>45085</v>
      </c>
      <c r="F540" s="4" t="s">
        <v>565</v>
      </c>
      <c r="G540" s="4" t="s">
        <v>16</v>
      </c>
      <c r="H540" s="4" t="str" cm="1">
        <f t="array" ref="H540">_xlfn.IFS(I540&lt;30, "Young Adult", I540&gt;=50, "Senior", I540&gt;=30, "Adult")</f>
        <v>Young Adult</v>
      </c>
      <c r="I540" s="4">
        <v>25</v>
      </c>
      <c r="J540" s="4" t="s">
        <v>17</v>
      </c>
      <c r="K540" s="4">
        <v>1</v>
      </c>
      <c r="L540" s="5">
        <v>500</v>
      </c>
      <c r="M540" s="5">
        <f>K540 * L540</f>
        <v>500</v>
      </c>
      <c r="N540" s="5">
        <f>M540 * $Q$4</f>
        <v>7.5</v>
      </c>
      <c r="O540" s="5">
        <f>M540* $Q$5</f>
        <v>10</v>
      </c>
    </row>
    <row r="541" spans="1:15">
      <c r="A541" s="2">
        <v>540</v>
      </c>
      <c r="B541" s="4">
        <f t="shared" si="24"/>
        <v>8</v>
      </c>
      <c r="C541" s="4">
        <f t="shared" si="25"/>
        <v>12</v>
      </c>
      <c r="D541" s="4">
        <f t="shared" si="26"/>
        <v>2023</v>
      </c>
      <c r="E541" s="3">
        <v>45268</v>
      </c>
      <c r="F541" s="4" t="s">
        <v>566</v>
      </c>
      <c r="G541" s="4" t="s">
        <v>19</v>
      </c>
      <c r="H541" s="4" t="str" cm="1">
        <f t="array" ref="H541">_xlfn.IFS(I541&lt;30, "Young Adult", I541&gt;=50, "Senior", I541&gt;=30, "Adult")</f>
        <v>Adult</v>
      </c>
      <c r="I541" s="4">
        <v>46</v>
      </c>
      <c r="J541" s="4" t="s">
        <v>24</v>
      </c>
      <c r="K541" s="4">
        <v>3</v>
      </c>
      <c r="L541" s="5">
        <v>300</v>
      </c>
      <c r="M541" s="5">
        <f>K541 * L541</f>
        <v>900</v>
      </c>
      <c r="N541" s="5">
        <f>M541 * $Q$4</f>
        <v>13.5</v>
      </c>
      <c r="O541" s="5">
        <f>M541* $Q$5</f>
        <v>18</v>
      </c>
    </row>
    <row r="542" spans="1:15">
      <c r="A542" s="2">
        <v>541</v>
      </c>
      <c r="B542" s="4">
        <f t="shared" si="24"/>
        <v>29</v>
      </c>
      <c r="C542" s="4">
        <f t="shared" si="25"/>
        <v>7</v>
      </c>
      <c r="D542" s="4">
        <f t="shared" si="26"/>
        <v>2023</v>
      </c>
      <c r="E542" s="3">
        <v>45136</v>
      </c>
      <c r="F542" s="4" t="s">
        <v>567</v>
      </c>
      <c r="G542" s="4" t="s">
        <v>16</v>
      </c>
      <c r="H542" s="4" t="str" cm="1">
        <f t="array" ref="H542">_xlfn.IFS(I542&lt;30, "Young Adult", I542&gt;=50, "Senior", I542&gt;=30, "Adult")</f>
        <v>Senior</v>
      </c>
      <c r="I542" s="4">
        <v>56</v>
      </c>
      <c r="J542" s="4" t="s">
        <v>17</v>
      </c>
      <c r="K542" s="4">
        <v>1</v>
      </c>
      <c r="L542" s="5">
        <v>500</v>
      </c>
      <c r="M542" s="5">
        <f>K542 * L542</f>
        <v>500</v>
      </c>
      <c r="N542" s="5">
        <f>M542 * $Q$4</f>
        <v>7.5</v>
      </c>
      <c r="O542" s="5">
        <f>M542* $Q$5</f>
        <v>10</v>
      </c>
    </row>
    <row r="543" spans="1:15">
      <c r="A543" s="2">
        <v>542</v>
      </c>
      <c r="B543" s="4">
        <f t="shared" si="24"/>
        <v>17</v>
      </c>
      <c r="C543" s="4">
        <f t="shared" si="25"/>
        <v>6</v>
      </c>
      <c r="D543" s="4">
        <f t="shared" si="26"/>
        <v>2023</v>
      </c>
      <c r="E543" s="3">
        <v>45094</v>
      </c>
      <c r="F543" s="4" t="s">
        <v>568</v>
      </c>
      <c r="G543" s="4" t="s">
        <v>19</v>
      </c>
      <c r="H543" s="4" t="str" cm="1">
        <f t="array" ref="H543">_xlfn.IFS(I543&lt;30, "Young Adult", I543&gt;=50, "Senior", I543&gt;=30, "Adult")</f>
        <v>Young Adult</v>
      </c>
      <c r="I543" s="4">
        <v>20</v>
      </c>
      <c r="J543" s="4" t="s">
        <v>17</v>
      </c>
      <c r="K543" s="4">
        <v>1</v>
      </c>
      <c r="L543" s="5">
        <v>50</v>
      </c>
      <c r="M543" s="5">
        <f>K543 * L543</f>
        <v>50</v>
      </c>
      <c r="N543" s="5">
        <f>M543 * $Q$4</f>
        <v>0.75</v>
      </c>
      <c r="O543" s="5">
        <f>M543* $Q$5</f>
        <v>1</v>
      </c>
    </row>
    <row r="544" spans="1:15">
      <c r="A544" s="2">
        <v>543</v>
      </c>
      <c r="B544" s="4">
        <f t="shared" si="24"/>
        <v>26</v>
      </c>
      <c r="C544" s="4">
        <f t="shared" si="25"/>
        <v>7</v>
      </c>
      <c r="D544" s="4">
        <f t="shared" si="26"/>
        <v>2023</v>
      </c>
      <c r="E544" s="3">
        <v>45133</v>
      </c>
      <c r="F544" s="4" t="s">
        <v>569</v>
      </c>
      <c r="G544" s="4" t="s">
        <v>16</v>
      </c>
      <c r="H544" s="4" t="str" cm="1">
        <f t="array" ref="H544">_xlfn.IFS(I544&lt;30, "Young Adult", I544&gt;=50, "Senior", I544&gt;=30, "Adult")</f>
        <v>Adult</v>
      </c>
      <c r="I544" s="4">
        <v>49</v>
      </c>
      <c r="J544" s="4" t="s">
        <v>17</v>
      </c>
      <c r="K544" s="4">
        <v>2</v>
      </c>
      <c r="L544" s="5">
        <v>300</v>
      </c>
      <c r="M544" s="5">
        <f>K544 * L544</f>
        <v>600</v>
      </c>
      <c r="N544" s="5">
        <f>M544 * $Q$4</f>
        <v>9</v>
      </c>
      <c r="O544" s="5">
        <f>M544* $Q$5</f>
        <v>12</v>
      </c>
    </row>
    <row r="545" spans="1:15">
      <c r="A545" s="2">
        <v>544</v>
      </c>
      <c r="B545" s="4">
        <f t="shared" si="24"/>
        <v>23</v>
      </c>
      <c r="C545" s="4">
        <f t="shared" si="25"/>
        <v>12</v>
      </c>
      <c r="D545" s="4">
        <f t="shared" si="26"/>
        <v>2023</v>
      </c>
      <c r="E545" s="3">
        <v>45283</v>
      </c>
      <c r="F545" s="4" t="s">
        <v>570</v>
      </c>
      <c r="G545" s="4" t="s">
        <v>19</v>
      </c>
      <c r="H545" s="4" t="str" cm="1">
        <f t="array" ref="H545">_xlfn.IFS(I545&lt;30, "Young Adult", I545&gt;=50, "Senior", I545&gt;=30, "Adult")</f>
        <v>Young Adult</v>
      </c>
      <c r="I545" s="4">
        <v>27</v>
      </c>
      <c r="J545" s="4" t="s">
        <v>24</v>
      </c>
      <c r="K545" s="4">
        <v>1</v>
      </c>
      <c r="L545" s="5">
        <v>25</v>
      </c>
      <c r="M545" s="5">
        <f>K545 * L545</f>
        <v>25</v>
      </c>
      <c r="N545" s="5">
        <f>M545 * $Q$4</f>
        <v>0.375</v>
      </c>
      <c r="O545" s="5">
        <f>M545* $Q$5</f>
        <v>0.5</v>
      </c>
    </row>
    <row r="546" spans="1:15">
      <c r="A546" s="2">
        <v>545</v>
      </c>
      <c r="B546" s="4">
        <f t="shared" si="24"/>
        <v>1</v>
      </c>
      <c r="C546" s="4">
        <f t="shared" si="25"/>
        <v>6</v>
      </c>
      <c r="D546" s="4">
        <f t="shared" si="26"/>
        <v>2023</v>
      </c>
      <c r="E546" s="3">
        <v>45078</v>
      </c>
      <c r="F546" s="4" t="s">
        <v>571</v>
      </c>
      <c r="G546" s="4" t="s">
        <v>16</v>
      </c>
      <c r="H546" s="4" t="str" cm="1">
        <f t="array" ref="H546">_xlfn.IFS(I546&lt;30, "Young Adult", I546&gt;=50, "Senior", I546&gt;=30, "Adult")</f>
        <v>Young Adult</v>
      </c>
      <c r="I546" s="4">
        <v>27</v>
      </c>
      <c r="J546" s="4" t="s">
        <v>20</v>
      </c>
      <c r="K546" s="4">
        <v>2</v>
      </c>
      <c r="L546" s="5">
        <v>25</v>
      </c>
      <c r="M546" s="5">
        <f>K546 * L546</f>
        <v>50</v>
      </c>
      <c r="N546" s="5">
        <f>M546 * $Q$4</f>
        <v>0.75</v>
      </c>
      <c r="O546" s="5">
        <f>M546* $Q$5</f>
        <v>1</v>
      </c>
    </row>
    <row r="547" spans="1:15">
      <c r="A547" s="2">
        <v>546</v>
      </c>
      <c r="B547" s="4">
        <f t="shared" si="24"/>
        <v>11</v>
      </c>
      <c r="C547" s="4">
        <f t="shared" si="25"/>
        <v>10</v>
      </c>
      <c r="D547" s="4">
        <f t="shared" si="26"/>
        <v>2023</v>
      </c>
      <c r="E547" s="3">
        <v>45210</v>
      </c>
      <c r="F547" s="4" t="s">
        <v>572</v>
      </c>
      <c r="G547" s="4" t="s">
        <v>19</v>
      </c>
      <c r="H547" s="4" t="str" cm="1">
        <f t="array" ref="H547">_xlfn.IFS(I547&lt;30, "Young Adult", I547&gt;=50, "Senior", I547&gt;=30, "Adult")</f>
        <v>Adult</v>
      </c>
      <c r="I547" s="4">
        <v>36</v>
      </c>
      <c r="J547" s="4" t="s">
        <v>24</v>
      </c>
      <c r="K547" s="4">
        <v>4</v>
      </c>
      <c r="L547" s="5">
        <v>50</v>
      </c>
      <c r="M547" s="5">
        <f>K547 * L547</f>
        <v>200</v>
      </c>
      <c r="N547" s="5">
        <f>M547 * $Q$4</f>
        <v>3</v>
      </c>
      <c r="O547" s="5">
        <f>M547* $Q$5</f>
        <v>4</v>
      </c>
    </row>
    <row r="548" spans="1:15">
      <c r="A548" s="2">
        <v>547</v>
      </c>
      <c r="B548" s="4">
        <f t="shared" si="24"/>
        <v>7</v>
      </c>
      <c r="C548" s="4">
        <f t="shared" si="25"/>
        <v>3</v>
      </c>
      <c r="D548" s="4">
        <f t="shared" si="26"/>
        <v>2023</v>
      </c>
      <c r="E548" s="3">
        <v>44992</v>
      </c>
      <c r="F548" s="4" t="s">
        <v>573</v>
      </c>
      <c r="G548" s="4" t="s">
        <v>16</v>
      </c>
      <c r="H548" s="4" t="str" cm="1">
        <f t="array" ref="H548">_xlfn.IFS(I548&lt;30, "Young Adult", I548&gt;=50, "Senior", I548&gt;=30, "Adult")</f>
        <v>Senior</v>
      </c>
      <c r="I548" s="4">
        <v>63</v>
      </c>
      <c r="J548" s="4" t="s">
        <v>20</v>
      </c>
      <c r="K548" s="4">
        <v>4</v>
      </c>
      <c r="L548" s="5">
        <v>500</v>
      </c>
      <c r="M548" s="5">
        <f>K548 * L548</f>
        <v>2000</v>
      </c>
      <c r="N548" s="5">
        <f>M548 * $Q$4</f>
        <v>30</v>
      </c>
      <c r="O548" s="5">
        <f>M548* $Q$5</f>
        <v>40</v>
      </c>
    </row>
    <row r="549" spans="1:15">
      <c r="A549" s="2">
        <v>548</v>
      </c>
      <c r="B549" s="4">
        <f t="shared" si="24"/>
        <v>9</v>
      </c>
      <c r="C549" s="4">
        <f t="shared" si="25"/>
        <v>4</v>
      </c>
      <c r="D549" s="4">
        <f t="shared" si="26"/>
        <v>2023</v>
      </c>
      <c r="E549" s="3">
        <v>45025</v>
      </c>
      <c r="F549" s="4" t="s">
        <v>574</v>
      </c>
      <c r="G549" s="4" t="s">
        <v>19</v>
      </c>
      <c r="H549" s="4" t="str" cm="1">
        <f t="array" ref="H549">_xlfn.IFS(I549&lt;30, "Young Adult", I549&gt;=50, "Senior", I549&gt;=30, "Adult")</f>
        <v>Senior</v>
      </c>
      <c r="I549" s="4">
        <v>51</v>
      </c>
      <c r="J549" s="4" t="s">
        <v>20</v>
      </c>
      <c r="K549" s="4">
        <v>2</v>
      </c>
      <c r="L549" s="5">
        <v>30</v>
      </c>
      <c r="M549" s="5">
        <f>K549 * L549</f>
        <v>60</v>
      </c>
      <c r="N549" s="5">
        <f>M549 * $Q$4</f>
        <v>0.89999999999999991</v>
      </c>
      <c r="O549" s="5">
        <f>M549* $Q$5</f>
        <v>1.2</v>
      </c>
    </row>
    <row r="550" spans="1:15">
      <c r="A550" s="2">
        <v>549</v>
      </c>
      <c r="B550" s="4">
        <f t="shared" si="24"/>
        <v>4</v>
      </c>
      <c r="C550" s="4">
        <f t="shared" si="25"/>
        <v>8</v>
      </c>
      <c r="D550" s="4">
        <f t="shared" si="26"/>
        <v>2023</v>
      </c>
      <c r="E550" s="3">
        <v>45142</v>
      </c>
      <c r="F550" s="4" t="s">
        <v>575</v>
      </c>
      <c r="G550" s="4" t="s">
        <v>19</v>
      </c>
      <c r="H550" s="4" t="str" cm="1">
        <f t="array" ref="H550">_xlfn.IFS(I550&lt;30, "Young Adult", I550&gt;=50, "Senior", I550&gt;=30, "Adult")</f>
        <v>Senior</v>
      </c>
      <c r="I550" s="4">
        <v>50</v>
      </c>
      <c r="J550" s="4" t="s">
        <v>17</v>
      </c>
      <c r="K550" s="4">
        <v>2</v>
      </c>
      <c r="L550" s="5">
        <v>50</v>
      </c>
      <c r="M550" s="5">
        <f>K550 * L550</f>
        <v>100</v>
      </c>
      <c r="N550" s="5">
        <f>M550 * $Q$4</f>
        <v>1.5</v>
      </c>
      <c r="O550" s="5">
        <f>M550* $Q$5</f>
        <v>2</v>
      </c>
    </row>
    <row r="551" spans="1:15">
      <c r="A551" s="2">
        <v>550</v>
      </c>
      <c r="B551" s="4">
        <f t="shared" si="24"/>
        <v>7</v>
      </c>
      <c r="C551" s="4">
        <f t="shared" si="25"/>
        <v>12</v>
      </c>
      <c r="D551" s="4">
        <f t="shared" si="26"/>
        <v>2023</v>
      </c>
      <c r="E551" s="3">
        <v>45267</v>
      </c>
      <c r="F551" s="4" t="s">
        <v>576</v>
      </c>
      <c r="G551" s="4" t="s">
        <v>16</v>
      </c>
      <c r="H551" s="4" t="str" cm="1">
        <f t="array" ref="H551">_xlfn.IFS(I551&lt;30, "Young Adult", I551&gt;=50, "Senior", I551&gt;=30, "Adult")</f>
        <v>Adult</v>
      </c>
      <c r="I551" s="4">
        <v>40</v>
      </c>
      <c r="J551" s="4" t="s">
        <v>20</v>
      </c>
      <c r="K551" s="4">
        <v>3</v>
      </c>
      <c r="L551" s="5">
        <v>300</v>
      </c>
      <c r="M551" s="5">
        <f>K551 * L551</f>
        <v>900</v>
      </c>
      <c r="N551" s="5">
        <f>M551 * $Q$4</f>
        <v>13.5</v>
      </c>
      <c r="O551" s="5">
        <f>M551* $Q$5</f>
        <v>18</v>
      </c>
    </row>
    <row r="552" spans="1:15">
      <c r="A552" s="2">
        <v>551</v>
      </c>
      <c r="B552" s="4">
        <f t="shared" si="24"/>
        <v>14</v>
      </c>
      <c r="C552" s="4">
        <f t="shared" si="25"/>
        <v>7</v>
      </c>
      <c r="D552" s="4">
        <f t="shared" si="26"/>
        <v>2023</v>
      </c>
      <c r="E552" s="3">
        <v>45121</v>
      </c>
      <c r="F552" s="4" t="s">
        <v>577</v>
      </c>
      <c r="G552" s="4" t="s">
        <v>16</v>
      </c>
      <c r="H552" s="4" t="str" cm="1">
        <f t="array" ref="H552">_xlfn.IFS(I552&lt;30, "Young Adult", I552&gt;=50, "Senior", I552&gt;=30, "Adult")</f>
        <v>Adult</v>
      </c>
      <c r="I552" s="4">
        <v>45</v>
      </c>
      <c r="J552" s="4" t="s">
        <v>24</v>
      </c>
      <c r="K552" s="4">
        <v>3</v>
      </c>
      <c r="L552" s="5">
        <v>300</v>
      </c>
      <c r="M552" s="5">
        <f>K552 * L552</f>
        <v>900</v>
      </c>
      <c r="N552" s="5">
        <f>M552 * $Q$4</f>
        <v>13.5</v>
      </c>
      <c r="O552" s="5">
        <f>M552* $Q$5</f>
        <v>18</v>
      </c>
    </row>
    <row r="553" spans="1:15">
      <c r="A553" s="2">
        <v>552</v>
      </c>
      <c r="B553" s="4">
        <f t="shared" si="24"/>
        <v>13</v>
      </c>
      <c r="C553" s="4">
        <f t="shared" si="25"/>
        <v>12</v>
      </c>
      <c r="D553" s="4">
        <f t="shared" si="26"/>
        <v>2023</v>
      </c>
      <c r="E553" s="3">
        <v>45273</v>
      </c>
      <c r="F553" s="4" t="s">
        <v>578</v>
      </c>
      <c r="G553" s="4" t="s">
        <v>19</v>
      </c>
      <c r="H553" s="4" t="str" cm="1">
        <f t="array" ref="H553">_xlfn.IFS(I553&lt;30, "Young Adult", I553&gt;=50, "Senior", I553&gt;=30, "Adult")</f>
        <v>Adult</v>
      </c>
      <c r="I553" s="4">
        <v>49</v>
      </c>
      <c r="J553" s="4" t="s">
        <v>24</v>
      </c>
      <c r="K553" s="4">
        <v>3</v>
      </c>
      <c r="L553" s="5">
        <v>25</v>
      </c>
      <c r="M553" s="5">
        <f>K553 * L553</f>
        <v>75</v>
      </c>
      <c r="N553" s="5">
        <f>M553 * $Q$4</f>
        <v>1.125</v>
      </c>
      <c r="O553" s="5">
        <f>M553* $Q$5</f>
        <v>1.5</v>
      </c>
    </row>
    <row r="554" spans="1:15">
      <c r="A554" s="2">
        <v>553</v>
      </c>
      <c r="B554" s="4">
        <f t="shared" si="24"/>
        <v>31</v>
      </c>
      <c r="C554" s="4">
        <f t="shared" si="25"/>
        <v>3</v>
      </c>
      <c r="D554" s="4">
        <f t="shared" si="26"/>
        <v>2023</v>
      </c>
      <c r="E554" s="3">
        <v>45016</v>
      </c>
      <c r="F554" s="4" t="s">
        <v>579</v>
      </c>
      <c r="G554" s="4" t="s">
        <v>16</v>
      </c>
      <c r="H554" s="4" t="str" cm="1">
        <f t="array" ref="H554">_xlfn.IFS(I554&lt;30, "Young Adult", I554&gt;=50, "Senior", I554&gt;=30, "Adult")</f>
        <v>Young Adult</v>
      </c>
      <c r="I554" s="4">
        <v>24</v>
      </c>
      <c r="J554" s="4" t="s">
        <v>20</v>
      </c>
      <c r="K554" s="4">
        <v>4</v>
      </c>
      <c r="L554" s="5">
        <v>300</v>
      </c>
      <c r="M554" s="5">
        <f>K554 * L554</f>
        <v>1200</v>
      </c>
      <c r="N554" s="5">
        <f>M554 * $Q$4</f>
        <v>18</v>
      </c>
      <c r="O554" s="5">
        <f>M554* $Q$5</f>
        <v>24</v>
      </c>
    </row>
    <row r="555" spans="1:15">
      <c r="A555" s="2">
        <v>554</v>
      </c>
      <c r="B555" s="4">
        <f t="shared" si="24"/>
        <v>12</v>
      </c>
      <c r="C555" s="4">
        <f t="shared" si="25"/>
        <v>11</v>
      </c>
      <c r="D555" s="4">
        <f t="shared" si="26"/>
        <v>2023</v>
      </c>
      <c r="E555" s="3">
        <v>45242</v>
      </c>
      <c r="F555" s="4" t="s">
        <v>580</v>
      </c>
      <c r="G555" s="4" t="s">
        <v>19</v>
      </c>
      <c r="H555" s="4" t="str" cm="1">
        <f t="array" ref="H555">_xlfn.IFS(I555&lt;30, "Young Adult", I555&gt;=50, "Senior", I555&gt;=30, "Adult")</f>
        <v>Adult</v>
      </c>
      <c r="I555" s="4">
        <v>46</v>
      </c>
      <c r="J555" s="4" t="s">
        <v>17</v>
      </c>
      <c r="K555" s="4">
        <v>3</v>
      </c>
      <c r="L555" s="5">
        <v>50</v>
      </c>
      <c r="M555" s="5">
        <f>K555 * L555</f>
        <v>150</v>
      </c>
      <c r="N555" s="5">
        <f>M555 * $Q$4</f>
        <v>2.25</v>
      </c>
      <c r="O555" s="5">
        <f>M555* $Q$5</f>
        <v>3</v>
      </c>
    </row>
    <row r="556" spans="1:15">
      <c r="A556" s="2">
        <v>555</v>
      </c>
      <c r="B556" s="4">
        <f t="shared" si="24"/>
        <v>19</v>
      </c>
      <c r="C556" s="4">
        <f t="shared" si="25"/>
        <v>10</v>
      </c>
      <c r="D556" s="4">
        <f t="shared" si="26"/>
        <v>2023</v>
      </c>
      <c r="E556" s="3">
        <v>45218</v>
      </c>
      <c r="F556" s="4" t="s">
        <v>581</v>
      </c>
      <c r="G556" s="4" t="s">
        <v>16</v>
      </c>
      <c r="H556" s="4" t="str" cm="1">
        <f t="array" ref="H556">_xlfn.IFS(I556&lt;30, "Young Adult", I556&gt;=50, "Senior", I556&gt;=30, "Adult")</f>
        <v>Young Adult</v>
      </c>
      <c r="I556" s="4">
        <v>25</v>
      </c>
      <c r="J556" s="4" t="s">
        <v>17</v>
      </c>
      <c r="K556" s="4">
        <v>1</v>
      </c>
      <c r="L556" s="5">
        <v>300</v>
      </c>
      <c r="M556" s="5">
        <f>K556 * L556</f>
        <v>300</v>
      </c>
      <c r="N556" s="5">
        <f>M556 * $Q$4</f>
        <v>4.5</v>
      </c>
      <c r="O556" s="5">
        <f>M556* $Q$5</f>
        <v>6</v>
      </c>
    </row>
    <row r="557" spans="1:15">
      <c r="A557" s="2">
        <v>556</v>
      </c>
      <c r="B557" s="4">
        <f t="shared" si="24"/>
        <v>4</v>
      </c>
      <c r="C557" s="4">
        <f t="shared" si="25"/>
        <v>6</v>
      </c>
      <c r="D557" s="4">
        <f t="shared" si="26"/>
        <v>2023</v>
      </c>
      <c r="E557" s="3">
        <v>45081</v>
      </c>
      <c r="F557" s="4" t="s">
        <v>582</v>
      </c>
      <c r="G557" s="4" t="s">
        <v>19</v>
      </c>
      <c r="H557" s="4" t="str" cm="1">
        <f t="array" ref="H557">_xlfn.IFS(I557&lt;30, "Young Adult", I557&gt;=50, "Senior", I557&gt;=30, "Adult")</f>
        <v>Young Adult</v>
      </c>
      <c r="I557" s="4">
        <v>18</v>
      </c>
      <c r="J557" s="4" t="s">
        <v>24</v>
      </c>
      <c r="K557" s="4">
        <v>1</v>
      </c>
      <c r="L557" s="5">
        <v>50</v>
      </c>
      <c r="M557" s="5">
        <f>K557 * L557</f>
        <v>50</v>
      </c>
      <c r="N557" s="5">
        <f>M557 * $Q$4</f>
        <v>0.75</v>
      </c>
      <c r="O557" s="5">
        <f>M557* $Q$5</f>
        <v>1</v>
      </c>
    </row>
    <row r="558" spans="1:15">
      <c r="A558" s="2">
        <v>557</v>
      </c>
      <c r="B558" s="4">
        <f t="shared" si="24"/>
        <v>27</v>
      </c>
      <c r="C558" s="4">
        <f t="shared" si="25"/>
        <v>7</v>
      </c>
      <c r="D558" s="4">
        <f t="shared" si="26"/>
        <v>2023</v>
      </c>
      <c r="E558" s="3">
        <v>45134</v>
      </c>
      <c r="F558" s="4" t="s">
        <v>583</v>
      </c>
      <c r="G558" s="4" t="s">
        <v>19</v>
      </c>
      <c r="H558" s="4" t="str" cm="1">
        <f t="array" ref="H558">_xlfn.IFS(I558&lt;30, "Young Adult", I558&gt;=50, "Senior", I558&gt;=30, "Adult")</f>
        <v>Young Adult</v>
      </c>
      <c r="I558" s="4">
        <v>20</v>
      </c>
      <c r="J558" s="4" t="s">
        <v>17</v>
      </c>
      <c r="K558" s="4">
        <v>3</v>
      </c>
      <c r="L558" s="5">
        <v>30</v>
      </c>
      <c r="M558" s="5">
        <f>K558 * L558</f>
        <v>90</v>
      </c>
      <c r="N558" s="5">
        <f>M558 * $Q$4</f>
        <v>1.3499999999999999</v>
      </c>
      <c r="O558" s="5">
        <f>M558* $Q$5</f>
        <v>1.8</v>
      </c>
    </row>
    <row r="559" spans="1:15">
      <c r="A559" s="2">
        <v>558</v>
      </c>
      <c r="B559" s="4">
        <f t="shared" si="24"/>
        <v>8</v>
      </c>
      <c r="C559" s="4">
        <f t="shared" si="25"/>
        <v>10</v>
      </c>
      <c r="D559" s="4">
        <f t="shared" si="26"/>
        <v>2023</v>
      </c>
      <c r="E559" s="3">
        <v>45207</v>
      </c>
      <c r="F559" s="4" t="s">
        <v>584</v>
      </c>
      <c r="G559" s="4" t="s">
        <v>19</v>
      </c>
      <c r="H559" s="4" t="str" cm="1">
        <f t="array" ref="H559">_xlfn.IFS(I559&lt;30, "Young Adult", I559&gt;=50, "Senior", I559&gt;=30, "Adult")</f>
        <v>Adult</v>
      </c>
      <c r="I559" s="4">
        <v>41</v>
      </c>
      <c r="J559" s="4" t="s">
        <v>20</v>
      </c>
      <c r="K559" s="4">
        <v>1</v>
      </c>
      <c r="L559" s="5">
        <v>25</v>
      </c>
      <c r="M559" s="5">
        <f>K559 * L559</f>
        <v>25</v>
      </c>
      <c r="N559" s="5">
        <f>M559 * $Q$4</f>
        <v>0.375</v>
      </c>
      <c r="O559" s="5">
        <f>M559* $Q$5</f>
        <v>0.5</v>
      </c>
    </row>
    <row r="560" spans="1:15">
      <c r="A560" s="2">
        <v>559</v>
      </c>
      <c r="B560" s="4">
        <f t="shared" si="24"/>
        <v>1</v>
      </c>
      <c r="C560" s="4">
        <f t="shared" si="25"/>
        <v>1</v>
      </c>
      <c r="D560" s="4">
        <f t="shared" si="26"/>
        <v>2023</v>
      </c>
      <c r="E560" s="3">
        <v>44927</v>
      </c>
      <c r="F560" s="4" t="s">
        <v>585</v>
      </c>
      <c r="G560" s="4" t="s">
        <v>19</v>
      </c>
      <c r="H560" s="4" t="str" cm="1">
        <f t="array" ref="H560">_xlfn.IFS(I560&lt;30, "Young Adult", I560&gt;=50, "Senior", I560&gt;=30, "Adult")</f>
        <v>Adult</v>
      </c>
      <c r="I560" s="4">
        <v>40</v>
      </c>
      <c r="J560" s="4" t="s">
        <v>20</v>
      </c>
      <c r="K560" s="4">
        <v>4</v>
      </c>
      <c r="L560" s="5">
        <v>300</v>
      </c>
      <c r="M560" s="5">
        <f>K560 * L560</f>
        <v>1200</v>
      </c>
      <c r="N560" s="5">
        <f>M560 * $Q$4</f>
        <v>18</v>
      </c>
      <c r="O560" s="5">
        <f>M560* $Q$5</f>
        <v>24</v>
      </c>
    </row>
    <row r="561" spans="1:15">
      <c r="A561" s="2">
        <v>560</v>
      </c>
      <c r="B561" s="4">
        <f t="shared" si="24"/>
        <v>5</v>
      </c>
      <c r="C561" s="4">
        <f t="shared" si="25"/>
        <v>6</v>
      </c>
      <c r="D561" s="4">
        <f t="shared" si="26"/>
        <v>2023</v>
      </c>
      <c r="E561" s="3">
        <v>45082</v>
      </c>
      <c r="F561" s="4" t="s">
        <v>586</v>
      </c>
      <c r="G561" s="4" t="s">
        <v>19</v>
      </c>
      <c r="H561" s="4" t="str" cm="1">
        <f t="array" ref="H561">_xlfn.IFS(I561&lt;30, "Young Adult", I561&gt;=50, "Senior", I561&gt;=30, "Adult")</f>
        <v>Young Adult</v>
      </c>
      <c r="I561" s="4">
        <v>25</v>
      </c>
      <c r="J561" s="4" t="s">
        <v>24</v>
      </c>
      <c r="K561" s="4">
        <v>1</v>
      </c>
      <c r="L561" s="5">
        <v>50</v>
      </c>
      <c r="M561" s="5">
        <f>K561 * L561</f>
        <v>50</v>
      </c>
      <c r="N561" s="5">
        <f>M561 * $Q$4</f>
        <v>0.75</v>
      </c>
      <c r="O561" s="5">
        <f>M561* $Q$5</f>
        <v>1</v>
      </c>
    </row>
    <row r="562" spans="1:15">
      <c r="A562" s="2">
        <v>561</v>
      </c>
      <c r="B562" s="4">
        <f t="shared" si="24"/>
        <v>27</v>
      </c>
      <c r="C562" s="4">
        <f t="shared" si="25"/>
        <v>5</v>
      </c>
      <c r="D562" s="4">
        <f t="shared" si="26"/>
        <v>2023</v>
      </c>
      <c r="E562" s="3">
        <v>45073</v>
      </c>
      <c r="F562" s="4" t="s">
        <v>587</v>
      </c>
      <c r="G562" s="4" t="s">
        <v>19</v>
      </c>
      <c r="H562" s="4" t="str" cm="1">
        <f t="array" ref="H562">_xlfn.IFS(I562&lt;30, "Young Adult", I562&gt;=50, "Senior", I562&gt;=30, "Adult")</f>
        <v>Senior</v>
      </c>
      <c r="I562" s="4">
        <v>64</v>
      </c>
      <c r="J562" s="4" t="s">
        <v>20</v>
      </c>
      <c r="K562" s="4">
        <v>4</v>
      </c>
      <c r="L562" s="5">
        <v>500</v>
      </c>
      <c r="M562" s="5">
        <f>K562 * L562</f>
        <v>2000</v>
      </c>
      <c r="N562" s="5">
        <f>M562 * $Q$4</f>
        <v>30</v>
      </c>
      <c r="O562" s="5">
        <f>M562* $Q$5</f>
        <v>40</v>
      </c>
    </row>
    <row r="563" spans="1:15">
      <c r="A563" s="2">
        <v>562</v>
      </c>
      <c r="B563" s="4">
        <f t="shared" si="24"/>
        <v>18</v>
      </c>
      <c r="C563" s="4">
        <f t="shared" si="25"/>
        <v>4</v>
      </c>
      <c r="D563" s="4">
        <f t="shared" si="26"/>
        <v>2023</v>
      </c>
      <c r="E563" s="3">
        <v>45034</v>
      </c>
      <c r="F563" s="4" t="s">
        <v>588</v>
      </c>
      <c r="G563" s="4" t="s">
        <v>16</v>
      </c>
      <c r="H563" s="4" t="str" cm="1">
        <f t="array" ref="H563">_xlfn.IFS(I563&lt;30, "Young Adult", I563&gt;=50, "Senior", I563&gt;=30, "Adult")</f>
        <v>Senior</v>
      </c>
      <c r="I563" s="4">
        <v>54</v>
      </c>
      <c r="J563" s="4" t="s">
        <v>24</v>
      </c>
      <c r="K563" s="4">
        <v>2</v>
      </c>
      <c r="L563" s="5">
        <v>25</v>
      </c>
      <c r="M563" s="5">
        <f>K563 * L563</f>
        <v>50</v>
      </c>
      <c r="N563" s="5">
        <f>M563 * $Q$4</f>
        <v>0.75</v>
      </c>
      <c r="O563" s="5">
        <f>M563* $Q$5</f>
        <v>1</v>
      </c>
    </row>
    <row r="564" spans="1:15">
      <c r="A564" s="2">
        <v>563</v>
      </c>
      <c r="B564" s="4">
        <f t="shared" si="24"/>
        <v>9</v>
      </c>
      <c r="C564" s="4">
        <f t="shared" si="25"/>
        <v>8</v>
      </c>
      <c r="D564" s="4">
        <f t="shared" si="26"/>
        <v>2023</v>
      </c>
      <c r="E564" s="3">
        <v>45147</v>
      </c>
      <c r="F564" s="4" t="s">
        <v>589</v>
      </c>
      <c r="G564" s="4" t="s">
        <v>16</v>
      </c>
      <c r="H564" s="4" t="str" cm="1">
        <f t="array" ref="H564">_xlfn.IFS(I564&lt;30, "Young Adult", I564&gt;=50, "Senior", I564&gt;=30, "Adult")</f>
        <v>Young Adult</v>
      </c>
      <c r="I564" s="4">
        <v>20</v>
      </c>
      <c r="J564" s="4" t="s">
        <v>20</v>
      </c>
      <c r="K564" s="4">
        <v>2</v>
      </c>
      <c r="L564" s="5">
        <v>30</v>
      </c>
      <c r="M564" s="5">
        <f>K564 * L564</f>
        <v>60</v>
      </c>
      <c r="N564" s="5">
        <f>M564 * $Q$4</f>
        <v>0.89999999999999991</v>
      </c>
      <c r="O564" s="5">
        <f>M564* $Q$5</f>
        <v>1.2</v>
      </c>
    </row>
    <row r="565" spans="1:15">
      <c r="A565" s="2">
        <v>564</v>
      </c>
      <c r="B565" s="4">
        <f t="shared" si="24"/>
        <v>24</v>
      </c>
      <c r="C565" s="4">
        <f t="shared" si="25"/>
        <v>10</v>
      </c>
      <c r="D565" s="4">
        <f t="shared" si="26"/>
        <v>2023</v>
      </c>
      <c r="E565" s="3">
        <v>45223</v>
      </c>
      <c r="F565" s="4" t="s">
        <v>590</v>
      </c>
      <c r="G565" s="4" t="s">
        <v>16</v>
      </c>
      <c r="H565" s="4" t="str" cm="1">
        <f t="array" ref="H565">_xlfn.IFS(I565&lt;30, "Young Adult", I565&gt;=50, "Senior", I565&gt;=30, "Adult")</f>
        <v>Senior</v>
      </c>
      <c r="I565" s="4">
        <v>50</v>
      </c>
      <c r="J565" s="4" t="s">
        <v>24</v>
      </c>
      <c r="K565" s="4">
        <v>2</v>
      </c>
      <c r="L565" s="5">
        <v>50</v>
      </c>
      <c r="M565" s="5">
        <f>K565 * L565</f>
        <v>100</v>
      </c>
      <c r="N565" s="5">
        <f>M565 * $Q$4</f>
        <v>1.5</v>
      </c>
      <c r="O565" s="5">
        <f>M565* $Q$5</f>
        <v>2</v>
      </c>
    </row>
    <row r="566" spans="1:15">
      <c r="A566" s="2">
        <v>565</v>
      </c>
      <c r="B566" s="4">
        <f t="shared" si="24"/>
        <v>7</v>
      </c>
      <c r="C566" s="4">
        <f t="shared" si="25"/>
        <v>11</v>
      </c>
      <c r="D566" s="4">
        <f t="shared" si="26"/>
        <v>2023</v>
      </c>
      <c r="E566" s="3">
        <v>45237</v>
      </c>
      <c r="F566" s="4" t="s">
        <v>591</v>
      </c>
      <c r="G566" s="4" t="s">
        <v>19</v>
      </c>
      <c r="H566" s="4" t="str" cm="1">
        <f t="array" ref="H566">_xlfn.IFS(I566&lt;30, "Young Adult", I566&gt;=50, "Senior", I566&gt;=30, "Adult")</f>
        <v>Adult</v>
      </c>
      <c r="I566" s="4">
        <v>45</v>
      </c>
      <c r="J566" s="4" t="s">
        <v>17</v>
      </c>
      <c r="K566" s="4">
        <v>2</v>
      </c>
      <c r="L566" s="5">
        <v>30</v>
      </c>
      <c r="M566" s="5">
        <f>K566 * L566</f>
        <v>60</v>
      </c>
      <c r="N566" s="5">
        <f>M566 * $Q$4</f>
        <v>0.89999999999999991</v>
      </c>
      <c r="O566" s="5">
        <f>M566* $Q$5</f>
        <v>1.2</v>
      </c>
    </row>
    <row r="567" spans="1:15">
      <c r="A567" s="2">
        <v>566</v>
      </c>
      <c r="B567" s="4">
        <f t="shared" si="24"/>
        <v>2</v>
      </c>
      <c r="C567" s="4">
        <f t="shared" si="25"/>
        <v>12</v>
      </c>
      <c r="D567" s="4">
        <f t="shared" si="26"/>
        <v>2023</v>
      </c>
      <c r="E567" s="3">
        <v>45262</v>
      </c>
      <c r="F567" s="4" t="s">
        <v>592</v>
      </c>
      <c r="G567" s="4" t="s">
        <v>19</v>
      </c>
      <c r="H567" s="4" t="str" cm="1">
        <f t="array" ref="H567">_xlfn.IFS(I567&lt;30, "Young Adult", I567&gt;=50, "Senior", I567&gt;=30, "Adult")</f>
        <v>Senior</v>
      </c>
      <c r="I567" s="4">
        <v>64</v>
      </c>
      <c r="J567" s="4" t="s">
        <v>20</v>
      </c>
      <c r="K567" s="4">
        <v>1</v>
      </c>
      <c r="L567" s="5">
        <v>30</v>
      </c>
      <c r="M567" s="5">
        <f>K567 * L567</f>
        <v>30</v>
      </c>
      <c r="N567" s="5">
        <f>M567 * $Q$4</f>
        <v>0.44999999999999996</v>
      </c>
      <c r="O567" s="5">
        <f>M567* $Q$5</f>
        <v>0.6</v>
      </c>
    </row>
    <row r="568" spans="1:15">
      <c r="A568" s="2">
        <v>567</v>
      </c>
      <c r="B568" s="4">
        <f t="shared" si="24"/>
        <v>14</v>
      </c>
      <c r="C568" s="4">
        <f t="shared" si="25"/>
        <v>6</v>
      </c>
      <c r="D568" s="4">
        <f t="shared" si="26"/>
        <v>2023</v>
      </c>
      <c r="E568" s="3">
        <v>45091</v>
      </c>
      <c r="F568" s="4" t="s">
        <v>593</v>
      </c>
      <c r="G568" s="4" t="s">
        <v>19</v>
      </c>
      <c r="H568" s="4" t="str" cm="1">
        <f t="array" ref="H568">_xlfn.IFS(I568&lt;30, "Young Adult", I568&gt;=50, "Senior", I568&gt;=30, "Adult")</f>
        <v>Young Adult</v>
      </c>
      <c r="I568" s="4">
        <v>25</v>
      </c>
      <c r="J568" s="4" t="s">
        <v>20</v>
      </c>
      <c r="K568" s="4">
        <v>3</v>
      </c>
      <c r="L568" s="5">
        <v>300</v>
      </c>
      <c r="M568" s="5">
        <f>K568 * L568</f>
        <v>900</v>
      </c>
      <c r="N568" s="5">
        <f>M568 * $Q$4</f>
        <v>13.5</v>
      </c>
      <c r="O568" s="5">
        <f>M568* $Q$5</f>
        <v>18</v>
      </c>
    </row>
    <row r="569" spans="1:15">
      <c r="A569" s="2">
        <v>568</v>
      </c>
      <c r="B569" s="4">
        <f t="shared" si="24"/>
        <v>27</v>
      </c>
      <c r="C569" s="4">
        <f t="shared" si="25"/>
        <v>8</v>
      </c>
      <c r="D569" s="4">
        <f t="shared" si="26"/>
        <v>2023</v>
      </c>
      <c r="E569" s="3">
        <v>45165</v>
      </c>
      <c r="F569" s="4" t="s">
        <v>594</v>
      </c>
      <c r="G569" s="4" t="s">
        <v>19</v>
      </c>
      <c r="H569" s="4" t="str" cm="1">
        <f t="array" ref="H569">_xlfn.IFS(I569&lt;30, "Young Adult", I569&gt;=50, "Senior", I569&gt;=30, "Adult")</f>
        <v>Senior</v>
      </c>
      <c r="I569" s="4">
        <v>51</v>
      </c>
      <c r="J569" s="4" t="s">
        <v>24</v>
      </c>
      <c r="K569" s="4">
        <v>1</v>
      </c>
      <c r="L569" s="5">
        <v>300</v>
      </c>
      <c r="M569" s="5">
        <f>K569 * L569</f>
        <v>300</v>
      </c>
      <c r="N569" s="5">
        <f>M569 * $Q$4</f>
        <v>4.5</v>
      </c>
      <c r="O569" s="5">
        <f>M569* $Q$5</f>
        <v>6</v>
      </c>
    </row>
    <row r="570" spans="1:15">
      <c r="A570" s="2">
        <v>569</v>
      </c>
      <c r="B570" s="4">
        <f t="shared" si="24"/>
        <v>15</v>
      </c>
      <c r="C570" s="4">
        <f t="shared" si="25"/>
        <v>8</v>
      </c>
      <c r="D570" s="4">
        <f t="shared" si="26"/>
        <v>2023</v>
      </c>
      <c r="E570" s="3">
        <v>45153</v>
      </c>
      <c r="F570" s="4" t="s">
        <v>595</v>
      </c>
      <c r="G570" s="4" t="s">
        <v>16</v>
      </c>
      <c r="H570" s="4" t="str" cm="1">
        <f t="array" ref="H570">_xlfn.IFS(I570&lt;30, "Young Adult", I570&gt;=50, "Senior", I570&gt;=30, "Adult")</f>
        <v>Senior</v>
      </c>
      <c r="I570" s="4">
        <v>52</v>
      </c>
      <c r="J570" s="4" t="s">
        <v>24</v>
      </c>
      <c r="K570" s="4">
        <v>4</v>
      </c>
      <c r="L570" s="5">
        <v>50</v>
      </c>
      <c r="M570" s="5">
        <f>K570 * L570</f>
        <v>200</v>
      </c>
      <c r="N570" s="5">
        <f>M570 * $Q$4</f>
        <v>3</v>
      </c>
      <c r="O570" s="5">
        <f>M570* $Q$5</f>
        <v>4</v>
      </c>
    </row>
    <row r="571" spans="1:15">
      <c r="A571" s="2">
        <v>570</v>
      </c>
      <c r="B571" s="4">
        <f t="shared" si="24"/>
        <v>15</v>
      </c>
      <c r="C571" s="4">
        <f t="shared" si="25"/>
        <v>8</v>
      </c>
      <c r="D571" s="4">
        <f t="shared" si="26"/>
        <v>2023</v>
      </c>
      <c r="E571" s="3">
        <v>45153</v>
      </c>
      <c r="F571" s="4" t="s">
        <v>596</v>
      </c>
      <c r="G571" s="4" t="s">
        <v>16</v>
      </c>
      <c r="H571" s="4" t="str" cm="1">
        <f t="array" ref="H571">_xlfn.IFS(I571&lt;30, "Young Adult", I571&gt;=50, "Senior", I571&gt;=30, "Adult")</f>
        <v>Adult</v>
      </c>
      <c r="I571" s="4">
        <v>49</v>
      </c>
      <c r="J571" s="4" t="s">
        <v>20</v>
      </c>
      <c r="K571" s="4">
        <v>1</v>
      </c>
      <c r="L571" s="5">
        <v>500</v>
      </c>
      <c r="M571" s="5">
        <f>K571 * L571</f>
        <v>500</v>
      </c>
      <c r="N571" s="5">
        <f>M571 * $Q$4</f>
        <v>7.5</v>
      </c>
      <c r="O571" s="5">
        <f>M571* $Q$5</f>
        <v>10</v>
      </c>
    </row>
    <row r="572" spans="1:15">
      <c r="A572" s="2">
        <v>571</v>
      </c>
      <c r="B572" s="4">
        <f t="shared" si="24"/>
        <v>12</v>
      </c>
      <c r="C572" s="4">
        <f t="shared" si="25"/>
        <v>12</v>
      </c>
      <c r="D572" s="4">
        <f t="shared" si="26"/>
        <v>2023</v>
      </c>
      <c r="E572" s="3">
        <v>45272</v>
      </c>
      <c r="F572" s="4" t="s">
        <v>597</v>
      </c>
      <c r="G572" s="4" t="s">
        <v>19</v>
      </c>
      <c r="H572" s="4" t="str" cm="1">
        <f t="array" ref="H572">_xlfn.IFS(I572&lt;30, "Young Adult", I572&gt;=50, "Senior", I572&gt;=30, "Adult")</f>
        <v>Adult</v>
      </c>
      <c r="I572" s="4">
        <v>41</v>
      </c>
      <c r="J572" s="4" t="s">
        <v>24</v>
      </c>
      <c r="K572" s="4">
        <v>1</v>
      </c>
      <c r="L572" s="5">
        <v>50</v>
      </c>
      <c r="M572" s="5">
        <f>K572 * L572</f>
        <v>50</v>
      </c>
      <c r="N572" s="5">
        <f>M572 * $Q$4</f>
        <v>0.75</v>
      </c>
      <c r="O572" s="5">
        <f>M572* $Q$5</f>
        <v>1</v>
      </c>
    </row>
    <row r="573" spans="1:15">
      <c r="A573" s="2">
        <v>572</v>
      </c>
      <c r="B573" s="4">
        <f t="shared" si="24"/>
        <v>20</v>
      </c>
      <c r="C573" s="4">
        <f t="shared" si="25"/>
        <v>4</v>
      </c>
      <c r="D573" s="4">
        <f t="shared" si="26"/>
        <v>2023</v>
      </c>
      <c r="E573" s="3">
        <v>45036</v>
      </c>
      <c r="F573" s="4" t="s">
        <v>598</v>
      </c>
      <c r="G573" s="4" t="s">
        <v>16</v>
      </c>
      <c r="H573" s="4" t="str" cm="1">
        <f t="array" ref="H573">_xlfn.IFS(I573&lt;30, "Young Adult", I573&gt;=50, "Senior", I573&gt;=30, "Adult")</f>
        <v>Adult</v>
      </c>
      <c r="I573" s="4">
        <v>31</v>
      </c>
      <c r="J573" s="4" t="s">
        <v>20</v>
      </c>
      <c r="K573" s="4">
        <v>4</v>
      </c>
      <c r="L573" s="5">
        <v>500</v>
      </c>
      <c r="M573" s="5">
        <f>K573 * L573</f>
        <v>2000</v>
      </c>
      <c r="N573" s="5">
        <f>M573 * $Q$4</f>
        <v>30</v>
      </c>
      <c r="O573" s="5">
        <f>M573* $Q$5</f>
        <v>40</v>
      </c>
    </row>
    <row r="574" spans="1:15">
      <c r="A574" s="2">
        <v>573</v>
      </c>
      <c r="B574" s="4">
        <f t="shared" si="24"/>
        <v>19</v>
      </c>
      <c r="C574" s="4">
        <f t="shared" si="25"/>
        <v>9</v>
      </c>
      <c r="D574" s="4">
        <f t="shared" si="26"/>
        <v>2023</v>
      </c>
      <c r="E574" s="3">
        <v>45188</v>
      </c>
      <c r="F574" s="4" t="s">
        <v>599</v>
      </c>
      <c r="G574" s="4" t="s">
        <v>16</v>
      </c>
      <c r="H574" s="4" t="str" cm="1">
        <f t="array" ref="H574">_xlfn.IFS(I574&lt;30, "Young Adult", I574&gt;=50, "Senior", I574&gt;=30, "Adult")</f>
        <v>Adult</v>
      </c>
      <c r="I574" s="4">
        <v>49</v>
      </c>
      <c r="J574" s="4" t="s">
        <v>17</v>
      </c>
      <c r="K574" s="4">
        <v>2</v>
      </c>
      <c r="L574" s="5">
        <v>30</v>
      </c>
      <c r="M574" s="5">
        <f>K574 * L574</f>
        <v>60</v>
      </c>
      <c r="N574" s="5">
        <f>M574 * $Q$4</f>
        <v>0.89999999999999991</v>
      </c>
      <c r="O574" s="5">
        <f>M574* $Q$5</f>
        <v>1.2</v>
      </c>
    </row>
    <row r="575" spans="1:15">
      <c r="A575" s="2">
        <v>574</v>
      </c>
      <c r="B575" s="4">
        <f t="shared" si="24"/>
        <v>31</v>
      </c>
      <c r="C575" s="4">
        <f t="shared" si="25"/>
        <v>8</v>
      </c>
      <c r="D575" s="4">
        <f t="shared" si="26"/>
        <v>2023</v>
      </c>
      <c r="E575" s="3">
        <v>45169</v>
      </c>
      <c r="F575" s="4" t="s">
        <v>600</v>
      </c>
      <c r="G575" s="4" t="s">
        <v>19</v>
      </c>
      <c r="H575" s="4" t="str" cm="1">
        <f t="array" ref="H575">_xlfn.IFS(I575&lt;30, "Young Adult", I575&gt;=50, "Senior", I575&gt;=30, "Adult")</f>
        <v>Senior</v>
      </c>
      <c r="I575" s="4">
        <v>63</v>
      </c>
      <c r="J575" s="4" t="s">
        <v>24</v>
      </c>
      <c r="K575" s="4">
        <v>2</v>
      </c>
      <c r="L575" s="5">
        <v>25</v>
      </c>
      <c r="M575" s="5">
        <f>K575 * L575</f>
        <v>50</v>
      </c>
      <c r="N575" s="5">
        <f>M575 * $Q$4</f>
        <v>0.75</v>
      </c>
      <c r="O575" s="5">
        <f>M575* $Q$5</f>
        <v>1</v>
      </c>
    </row>
    <row r="576" spans="1:15">
      <c r="A576" s="2">
        <v>575</v>
      </c>
      <c r="B576" s="4">
        <f t="shared" si="24"/>
        <v>28</v>
      </c>
      <c r="C576" s="4">
        <f t="shared" si="25"/>
        <v>3</v>
      </c>
      <c r="D576" s="4">
        <f t="shared" si="26"/>
        <v>2023</v>
      </c>
      <c r="E576" s="3">
        <v>45013</v>
      </c>
      <c r="F576" s="4" t="s">
        <v>601</v>
      </c>
      <c r="G576" s="4" t="s">
        <v>16</v>
      </c>
      <c r="H576" s="4" t="str" cm="1">
        <f t="array" ref="H576">_xlfn.IFS(I576&lt;30, "Young Adult", I576&gt;=50, "Senior", I576&gt;=30, "Adult")</f>
        <v>Senior</v>
      </c>
      <c r="I576" s="4">
        <v>60</v>
      </c>
      <c r="J576" s="4" t="s">
        <v>20</v>
      </c>
      <c r="K576" s="4">
        <v>2</v>
      </c>
      <c r="L576" s="5">
        <v>50</v>
      </c>
      <c r="M576" s="5">
        <f>K576 * L576</f>
        <v>100</v>
      </c>
      <c r="N576" s="5">
        <f>M576 * $Q$4</f>
        <v>1.5</v>
      </c>
      <c r="O576" s="5">
        <f>M576* $Q$5</f>
        <v>2</v>
      </c>
    </row>
    <row r="577" spans="1:15">
      <c r="A577" s="2">
        <v>576</v>
      </c>
      <c r="B577" s="4">
        <f t="shared" si="24"/>
        <v>4</v>
      </c>
      <c r="C577" s="4">
        <f t="shared" si="25"/>
        <v>12</v>
      </c>
      <c r="D577" s="4">
        <f t="shared" si="26"/>
        <v>2023</v>
      </c>
      <c r="E577" s="3">
        <v>45264</v>
      </c>
      <c r="F577" s="4" t="s">
        <v>602</v>
      </c>
      <c r="G577" s="4" t="s">
        <v>19</v>
      </c>
      <c r="H577" s="4" t="str" cm="1">
        <f t="array" ref="H577">_xlfn.IFS(I577&lt;30, "Young Adult", I577&gt;=50, "Senior", I577&gt;=30, "Adult")</f>
        <v>Adult</v>
      </c>
      <c r="I577" s="4">
        <v>33</v>
      </c>
      <c r="J577" s="4" t="s">
        <v>17</v>
      </c>
      <c r="K577" s="4">
        <v>3</v>
      </c>
      <c r="L577" s="5">
        <v>50</v>
      </c>
      <c r="M577" s="5">
        <f>K577 * L577</f>
        <v>150</v>
      </c>
      <c r="N577" s="5">
        <f>M577 * $Q$4</f>
        <v>2.25</v>
      </c>
      <c r="O577" s="5">
        <f>M577* $Q$5</f>
        <v>3</v>
      </c>
    </row>
    <row r="578" spans="1:15">
      <c r="A578" s="2">
        <v>577</v>
      </c>
      <c r="B578" s="4">
        <f t="shared" si="24"/>
        <v>13</v>
      </c>
      <c r="C578" s="4">
        <f t="shared" si="25"/>
        <v>2</v>
      </c>
      <c r="D578" s="4">
        <f t="shared" si="26"/>
        <v>2023</v>
      </c>
      <c r="E578" s="3">
        <v>44970</v>
      </c>
      <c r="F578" s="4" t="s">
        <v>603</v>
      </c>
      <c r="G578" s="4" t="s">
        <v>16</v>
      </c>
      <c r="H578" s="4" t="str" cm="1">
        <f t="array" ref="H578">_xlfn.IFS(I578&lt;30, "Young Adult", I578&gt;=50, "Senior", I578&gt;=30, "Adult")</f>
        <v>Young Adult</v>
      </c>
      <c r="I578" s="4">
        <v>21</v>
      </c>
      <c r="J578" s="4" t="s">
        <v>17</v>
      </c>
      <c r="K578" s="4">
        <v>4</v>
      </c>
      <c r="L578" s="5">
        <v>500</v>
      </c>
      <c r="M578" s="5">
        <f>K578 * L578</f>
        <v>2000</v>
      </c>
      <c r="N578" s="5">
        <f>M578 * $Q$4</f>
        <v>30</v>
      </c>
      <c r="O578" s="5">
        <f>M578* $Q$5</f>
        <v>40</v>
      </c>
    </row>
    <row r="579" spans="1:15">
      <c r="A579" s="2">
        <v>578</v>
      </c>
      <c r="B579" s="4">
        <f t="shared" ref="B579:B642" si="27">DAY(E579)</f>
        <v>26</v>
      </c>
      <c r="C579" s="4">
        <f t="shared" ref="C579:C642" si="28">MONTH(E579)</f>
        <v>5</v>
      </c>
      <c r="D579" s="4">
        <f t="shared" ref="D579:D642" si="29">YEAR(E579)</f>
        <v>2023</v>
      </c>
      <c r="E579" s="3">
        <v>45072</v>
      </c>
      <c r="F579" s="4" t="s">
        <v>604</v>
      </c>
      <c r="G579" s="4" t="s">
        <v>19</v>
      </c>
      <c r="H579" s="4" t="str" cm="1">
        <f t="array" ref="H579">_xlfn.IFS(I579&lt;30, "Young Adult", I579&gt;=50, "Senior", I579&gt;=30, "Adult")</f>
        <v>Senior</v>
      </c>
      <c r="I579" s="4">
        <v>54</v>
      </c>
      <c r="J579" s="4" t="s">
        <v>20</v>
      </c>
      <c r="K579" s="4">
        <v>4</v>
      </c>
      <c r="L579" s="5">
        <v>30</v>
      </c>
      <c r="M579" s="5">
        <f>K579 * L579</f>
        <v>120</v>
      </c>
      <c r="N579" s="5">
        <f>M579 * $Q$4</f>
        <v>1.7999999999999998</v>
      </c>
      <c r="O579" s="5">
        <f>M579* $Q$5</f>
        <v>2.4</v>
      </c>
    </row>
    <row r="580" spans="1:15">
      <c r="A580" s="2">
        <v>579</v>
      </c>
      <c r="B580" s="4">
        <f t="shared" si="27"/>
        <v>21</v>
      </c>
      <c r="C580" s="4">
        <f t="shared" si="28"/>
        <v>9</v>
      </c>
      <c r="D580" s="4">
        <f t="shared" si="29"/>
        <v>2023</v>
      </c>
      <c r="E580" s="3">
        <v>45190</v>
      </c>
      <c r="F580" s="4" t="s">
        <v>605</v>
      </c>
      <c r="G580" s="4" t="s">
        <v>19</v>
      </c>
      <c r="H580" s="4" t="str" cm="1">
        <f t="array" ref="H580">_xlfn.IFS(I580&lt;30, "Young Adult", I580&gt;=50, "Senior", I580&gt;=30, "Adult")</f>
        <v>Adult</v>
      </c>
      <c r="I580" s="4">
        <v>38</v>
      </c>
      <c r="J580" s="4" t="s">
        <v>24</v>
      </c>
      <c r="K580" s="4">
        <v>1</v>
      </c>
      <c r="L580" s="5">
        <v>30</v>
      </c>
      <c r="M580" s="5">
        <f>K580 * L580</f>
        <v>30</v>
      </c>
      <c r="N580" s="5">
        <f>M580 * $Q$4</f>
        <v>0.44999999999999996</v>
      </c>
      <c r="O580" s="5">
        <f>M580* $Q$5</f>
        <v>0.6</v>
      </c>
    </row>
    <row r="581" spans="1:15">
      <c r="A581" s="2">
        <v>580</v>
      </c>
      <c r="B581" s="4">
        <f t="shared" si="27"/>
        <v>6</v>
      </c>
      <c r="C581" s="4">
        <f t="shared" si="28"/>
        <v>12</v>
      </c>
      <c r="D581" s="4">
        <f t="shared" si="29"/>
        <v>2023</v>
      </c>
      <c r="E581" s="3">
        <v>45266</v>
      </c>
      <c r="F581" s="4" t="s">
        <v>606</v>
      </c>
      <c r="G581" s="4" t="s">
        <v>19</v>
      </c>
      <c r="H581" s="4" t="str" cm="1">
        <f t="array" ref="H581">_xlfn.IFS(I581&lt;30, "Young Adult", I581&gt;=50, "Senior", I581&gt;=30, "Adult")</f>
        <v>Adult</v>
      </c>
      <c r="I581" s="4">
        <v>31</v>
      </c>
      <c r="J581" s="4" t="s">
        <v>20</v>
      </c>
      <c r="K581" s="4">
        <v>3</v>
      </c>
      <c r="L581" s="5">
        <v>500</v>
      </c>
      <c r="M581" s="5">
        <f>K581 * L581</f>
        <v>1500</v>
      </c>
      <c r="N581" s="5">
        <f>M581 * $Q$4</f>
        <v>22.5</v>
      </c>
      <c r="O581" s="5">
        <f>M581* $Q$5</f>
        <v>30</v>
      </c>
    </row>
    <row r="582" spans="1:15">
      <c r="A582" s="2">
        <v>581</v>
      </c>
      <c r="B582" s="4">
        <f t="shared" si="27"/>
        <v>21</v>
      </c>
      <c r="C582" s="4">
        <f t="shared" si="28"/>
        <v>11</v>
      </c>
      <c r="D582" s="4">
        <f t="shared" si="29"/>
        <v>2023</v>
      </c>
      <c r="E582" s="3">
        <v>45251</v>
      </c>
      <c r="F582" s="4" t="s">
        <v>607</v>
      </c>
      <c r="G582" s="4" t="s">
        <v>19</v>
      </c>
      <c r="H582" s="4" t="str" cm="1">
        <f t="array" ref="H582">_xlfn.IFS(I582&lt;30, "Young Adult", I582&gt;=50, "Senior", I582&gt;=30, "Adult")</f>
        <v>Adult</v>
      </c>
      <c r="I582" s="4">
        <v>48</v>
      </c>
      <c r="J582" s="4" t="s">
        <v>17</v>
      </c>
      <c r="K582" s="4">
        <v>2</v>
      </c>
      <c r="L582" s="5">
        <v>30</v>
      </c>
      <c r="M582" s="5">
        <f>K582 * L582</f>
        <v>60</v>
      </c>
      <c r="N582" s="5">
        <f>M582 * $Q$4</f>
        <v>0.89999999999999991</v>
      </c>
      <c r="O582" s="5">
        <f>M582* $Q$5</f>
        <v>1.2</v>
      </c>
    </row>
    <row r="583" spans="1:15">
      <c r="A583" s="2">
        <v>582</v>
      </c>
      <c r="B583" s="4">
        <f t="shared" si="27"/>
        <v>14</v>
      </c>
      <c r="C583" s="4">
        <f t="shared" si="28"/>
        <v>11</v>
      </c>
      <c r="D583" s="4">
        <f t="shared" si="29"/>
        <v>2023</v>
      </c>
      <c r="E583" s="3">
        <v>45244</v>
      </c>
      <c r="F583" s="4" t="s">
        <v>608</v>
      </c>
      <c r="G583" s="4" t="s">
        <v>16</v>
      </c>
      <c r="H583" s="4" t="str" cm="1">
        <f t="array" ref="H583">_xlfn.IFS(I583&lt;30, "Young Adult", I583&gt;=50, "Senior", I583&gt;=30, "Adult")</f>
        <v>Adult</v>
      </c>
      <c r="I583" s="4">
        <v>35</v>
      </c>
      <c r="J583" s="4" t="s">
        <v>20</v>
      </c>
      <c r="K583" s="4">
        <v>3</v>
      </c>
      <c r="L583" s="5">
        <v>300</v>
      </c>
      <c r="M583" s="5">
        <f>K583 * L583</f>
        <v>900</v>
      </c>
      <c r="N583" s="5">
        <f>M583 * $Q$4</f>
        <v>13.5</v>
      </c>
      <c r="O583" s="5">
        <f>M583* $Q$5</f>
        <v>18</v>
      </c>
    </row>
    <row r="584" spans="1:15">
      <c r="A584" s="2">
        <v>583</v>
      </c>
      <c r="B584" s="4">
        <f t="shared" si="27"/>
        <v>21</v>
      </c>
      <c r="C584" s="4">
        <f t="shared" si="28"/>
        <v>6</v>
      </c>
      <c r="D584" s="4">
        <f t="shared" si="29"/>
        <v>2023</v>
      </c>
      <c r="E584" s="3">
        <v>45098</v>
      </c>
      <c r="F584" s="4" t="s">
        <v>609</v>
      </c>
      <c r="G584" s="4" t="s">
        <v>19</v>
      </c>
      <c r="H584" s="4" t="str" cm="1">
        <f t="array" ref="H584">_xlfn.IFS(I584&lt;30, "Young Adult", I584&gt;=50, "Senior", I584&gt;=30, "Adult")</f>
        <v>Young Adult</v>
      </c>
      <c r="I584" s="4">
        <v>24</v>
      </c>
      <c r="J584" s="4" t="s">
        <v>24</v>
      </c>
      <c r="K584" s="4">
        <v>4</v>
      </c>
      <c r="L584" s="5">
        <v>25</v>
      </c>
      <c r="M584" s="5">
        <f>K584 * L584</f>
        <v>100</v>
      </c>
      <c r="N584" s="5">
        <f>M584 * $Q$4</f>
        <v>1.5</v>
      </c>
      <c r="O584" s="5">
        <f>M584* $Q$5</f>
        <v>2</v>
      </c>
    </row>
    <row r="585" spans="1:15">
      <c r="A585" s="2">
        <v>584</v>
      </c>
      <c r="B585" s="4">
        <f t="shared" si="27"/>
        <v>17</v>
      </c>
      <c r="C585" s="4">
        <f t="shared" si="28"/>
        <v>2</v>
      </c>
      <c r="D585" s="4">
        <f t="shared" si="29"/>
        <v>2023</v>
      </c>
      <c r="E585" s="3">
        <v>44974</v>
      </c>
      <c r="F585" s="4" t="s">
        <v>610</v>
      </c>
      <c r="G585" s="4" t="s">
        <v>19</v>
      </c>
      <c r="H585" s="4" t="str" cm="1">
        <f t="array" ref="H585">_xlfn.IFS(I585&lt;30, "Young Adult", I585&gt;=50, "Senior", I585&gt;=30, "Adult")</f>
        <v>Young Adult</v>
      </c>
      <c r="I585" s="4">
        <v>27</v>
      </c>
      <c r="J585" s="4" t="s">
        <v>17</v>
      </c>
      <c r="K585" s="4">
        <v>4</v>
      </c>
      <c r="L585" s="5">
        <v>50</v>
      </c>
      <c r="M585" s="5">
        <f>K585 * L585</f>
        <v>200</v>
      </c>
      <c r="N585" s="5">
        <f>M585 * $Q$4</f>
        <v>3</v>
      </c>
      <c r="O585" s="5">
        <f>M585* $Q$5</f>
        <v>4</v>
      </c>
    </row>
    <row r="586" spans="1:15">
      <c r="A586" s="2">
        <v>585</v>
      </c>
      <c r="B586" s="4">
        <f t="shared" si="27"/>
        <v>1</v>
      </c>
      <c r="C586" s="4">
        <f t="shared" si="28"/>
        <v>5</v>
      </c>
      <c r="D586" s="4">
        <f t="shared" si="29"/>
        <v>2023</v>
      </c>
      <c r="E586" s="3">
        <v>45047</v>
      </c>
      <c r="F586" s="4" t="s">
        <v>611</v>
      </c>
      <c r="G586" s="4" t="s">
        <v>19</v>
      </c>
      <c r="H586" s="4" t="str" cm="1">
        <f t="array" ref="H586">_xlfn.IFS(I586&lt;30, "Young Adult", I586&gt;=50, "Senior", I586&gt;=30, "Adult")</f>
        <v>Young Adult</v>
      </c>
      <c r="I586" s="4">
        <v>24</v>
      </c>
      <c r="J586" s="4" t="s">
        <v>20</v>
      </c>
      <c r="K586" s="4">
        <v>1</v>
      </c>
      <c r="L586" s="5">
        <v>25</v>
      </c>
      <c r="M586" s="5">
        <f>K586 * L586</f>
        <v>25</v>
      </c>
      <c r="N586" s="5">
        <f>M586 * $Q$4</f>
        <v>0.375</v>
      </c>
      <c r="O586" s="5">
        <f>M586* $Q$5</f>
        <v>0.5</v>
      </c>
    </row>
    <row r="587" spans="1:15">
      <c r="A587" s="2">
        <v>586</v>
      </c>
      <c r="B587" s="4">
        <f t="shared" si="27"/>
        <v>11</v>
      </c>
      <c r="C587" s="4">
        <f t="shared" si="28"/>
        <v>12</v>
      </c>
      <c r="D587" s="4">
        <f t="shared" si="29"/>
        <v>2023</v>
      </c>
      <c r="E587" s="3">
        <v>45271</v>
      </c>
      <c r="F587" s="4" t="s">
        <v>612</v>
      </c>
      <c r="G587" s="4" t="s">
        <v>16</v>
      </c>
      <c r="H587" s="4" t="str" cm="1">
        <f t="array" ref="H587">_xlfn.IFS(I587&lt;30, "Young Adult", I587&gt;=50, "Senior", I587&gt;=30, "Adult")</f>
        <v>Senior</v>
      </c>
      <c r="I587" s="4">
        <v>50</v>
      </c>
      <c r="J587" s="4" t="s">
        <v>24</v>
      </c>
      <c r="K587" s="4">
        <v>1</v>
      </c>
      <c r="L587" s="5">
        <v>50</v>
      </c>
      <c r="M587" s="5">
        <f>K587 * L587</f>
        <v>50</v>
      </c>
      <c r="N587" s="5">
        <f>M587 * $Q$4</f>
        <v>0.75</v>
      </c>
      <c r="O587" s="5">
        <f>M587* $Q$5</f>
        <v>1</v>
      </c>
    </row>
    <row r="588" spans="1:15">
      <c r="A588" s="2">
        <v>587</v>
      </c>
      <c r="B588" s="4">
        <f t="shared" si="27"/>
        <v>8</v>
      </c>
      <c r="C588" s="4">
        <f t="shared" si="28"/>
        <v>6</v>
      </c>
      <c r="D588" s="4">
        <f t="shared" si="29"/>
        <v>2023</v>
      </c>
      <c r="E588" s="3">
        <v>45085</v>
      </c>
      <c r="F588" s="4" t="s">
        <v>613</v>
      </c>
      <c r="G588" s="4" t="s">
        <v>19</v>
      </c>
      <c r="H588" s="4" t="str" cm="1">
        <f t="array" ref="H588">_xlfn.IFS(I588&lt;30, "Young Adult", I588&gt;=50, "Senior", I588&gt;=30, "Adult")</f>
        <v>Adult</v>
      </c>
      <c r="I588" s="4">
        <v>40</v>
      </c>
      <c r="J588" s="4" t="s">
        <v>17</v>
      </c>
      <c r="K588" s="4">
        <v>4</v>
      </c>
      <c r="L588" s="5">
        <v>300</v>
      </c>
      <c r="M588" s="5">
        <f>K588 * L588</f>
        <v>1200</v>
      </c>
      <c r="N588" s="5">
        <f>M588 * $Q$4</f>
        <v>18</v>
      </c>
      <c r="O588" s="5">
        <f>M588* $Q$5</f>
        <v>24</v>
      </c>
    </row>
    <row r="589" spans="1:15">
      <c r="A589" s="2">
        <v>588</v>
      </c>
      <c r="B589" s="4">
        <f t="shared" si="27"/>
        <v>26</v>
      </c>
      <c r="C589" s="4">
        <f t="shared" si="28"/>
        <v>4</v>
      </c>
      <c r="D589" s="4">
        <f t="shared" si="29"/>
        <v>2023</v>
      </c>
      <c r="E589" s="3">
        <v>45042</v>
      </c>
      <c r="F589" s="4" t="s">
        <v>614</v>
      </c>
      <c r="G589" s="4" t="s">
        <v>16</v>
      </c>
      <c r="H589" s="4" t="str" cm="1">
        <f t="array" ref="H589">_xlfn.IFS(I589&lt;30, "Young Adult", I589&gt;=50, "Senior", I589&gt;=30, "Adult")</f>
        <v>Adult</v>
      </c>
      <c r="I589" s="4">
        <v>38</v>
      </c>
      <c r="J589" s="4" t="s">
        <v>24</v>
      </c>
      <c r="K589" s="4">
        <v>2</v>
      </c>
      <c r="L589" s="5">
        <v>30</v>
      </c>
      <c r="M589" s="5">
        <f>K589 * L589</f>
        <v>60</v>
      </c>
      <c r="N589" s="5">
        <f>M589 * $Q$4</f>
        <v>0.89999999999999991</v>
      </c>
      <c r="O589" s="5">
        <f>M589* $Q$5</f>
        <v>1.2</v>
      </c>
    </row>
    <row r="590" spans="1:15">
      <c r="A590" s="2">
        <v>589</v>
      </c>
      <c r="B590" s="4">
        <f t="shared" si="27"/>
        <v>12</v>
      </c>
      <c r="C590" s="4">
        <f t="shared" si="28"/>
        <v>4</v>
      </c>
      <c r="D590" s="4">
        <f t="shared" si="29"/>
        <v>2023</v>
      </c>
      <c r="E590" s="3">
        <v>45028</v>
      </c>
      <c r="F590" s="4" t="s">
        <v>615</v>
      </c>
      <c r="G590" s="4" t="s">
        <v>19</v>
      </c>
      <c r="H590" s="4" t="str" cm="1">
        <f t="array" ref="H590">_xlfn.IFS(I590&lt;30, "Young Adult", I590&gt;=50, "Senior", I590&gt;=30, "Adult")</f>
        <v>Adult</v>
      </c>
      <c r="I590" s="4">
        <v>36</v>
      </c>
      <c r="J590" s="4" t="s">
        <v>17</v>
      </c>
      <c r="K590" s="4">
        <v>2</v>
      </c>
      <c r="L590" s="5">
        <v>500</v>
      </c>
      <c r="M590" s="5">
        <f>K590 * L590</f>
        <v>1000</v>
      </c>
      <c r="N590" s="5">
        <f>M590 * $Q$4</f>
        <v>15</v>
      </c>
      <c r="O590" s="5">
        <f>M590* $Q$5</f>
        <v>20</v>
      </c>
    </row>
    <row r="591" spans="1:15">
      <c r="A591" s="2">
        <v>590</v>
      </c>
      <c r="B591" s="4">
        <f t="shared" si="27"/>
        <v>17</v>
      </c>
      <c r="C591" s="4">
        <f t="shared" si="28"/>
        <v>3</v>
      </c>
      <c r="D591" s="4">
        <f t="shared" si="29"/>
        <v>2023</v>
      </c>
      <c r="E591" s="3">
        <v>45002</v>
      </c>
      <c r="F591" s="4" t="s">
        <v>616</v>
      </c>
      <c r="G591" s="4" t="s">
        <v>16</v>
      </c>
      <c r="H591" s="4" t="str" cm="1">
        <f t="array" ref="H591">_xlfn.IFS(I591&lt;30, "Young Adult", I591&gt;=50, "Senior", I591&gt;=30, "Adult")</f>
        <v>Adult</v>
      </c>
      <c r="I591" s="4">
        <v>36</v>
      </c>
      <c r="J591" s="4" t="s">
        <v>20</v>
      </c>
      <c r="K591" s="4">
        <v>3</v>
      </c>
      <c r="L591" s="5">
        <v>300</v>
      </c>
      <c r="M591" s="5">
        <f>K591 * L591</f>
        <v>900</v>
      </c>
      <c r="N591" s="5">
        <f>M591 * $Q$4</f>
        <v>13.5</v>
      </c>
      <c r="O591" s="5">
        <f>M591* $Q$5</f>
        <v>18</v>
      </c>
    </row>
    <row r="592" spans="1:15">
      <c r="A592" s="2">
        <v>591</v>
      </c>
      <c r="B592" s="4">
        <f t="shared" si="27"/>
        <v>13</v>
      </c>
      <c r="C592" s="4">
        <f t="shared" si="28"/>
        <v>1</v>
      </c>
      <c r="D592" s="4">
        <f t="shared" si="29"/>
        <v>2023</v>
      </c>
      <c r="E592" s="3">
        <v>44939</v>
      </c>
      <c r="F592" s="4" t="s">
        <v>617</v>
      </c>
      <c r="G592" s="4" t="s">
        <v>16</v>
      </c>
      <c r="H592" s="4" t="str" cm="1">
        <f t="array" ref="H592">_xlfn.IFS(I592&lt;30, "Young Adult", I592&gt;=50, "Senior", I592&gt;=30, "Adult")</f>
        <v>Senior</v>
      </c>
      <c r="I592" s="4">
        <v>53</v>
      </c>
      <c r="J592" s="4" t="s">
        <v>24</v>
      </c>
      <c r="K592" s="4">
        <v>4</v>
      </c>
      <c r="L592" s="5">
        <v>25</v>
      </c>
      <c r="M592" s="5">
        <f>K592 * L592</f>
        <v>100</v>
      </c>
      <c r="N592" s="5">
        <f>M592 * $Q$4</f>
        <v>1.5</v>
      </c>
      <c r="O592" s="5">
        <f>M592* $Q$5</f>
        <v>2</v>
      </c>
    </row>
    <row r="593" spans="1:15">
      <c r="A593" s="2">
        <v>592</v>
      </c>
      <c r="B593" s="4">
        <f t="shared" si="27"/>
        <v>24</v>
      </c>
      <c r="C593" s="4">
        <f t="shared" si="28"/>
        <v>1</v>
      </c>
      <c r="D593" s="4">
        <f t="shared" si="29"/>
        <v>2023</v>
      </c>
      <c r="E593" s="3">
        <v>44950</v>
      </c>
      <c r="F593" s="4" t="s">
        <v>618</v>
      </c>
      <c r="G593" s="4" t="s">
        <v>19</v>
      </c>
      <c r="H593" s="4" t="str" cm="1">
        <f t="array" ref="H593">_xlfn.IFS(I593&lt;30, "Young Adult", I593&gt;=50, "Senior", I593&gt;=30, "Adult")</f>
        <v>Adult</v>
      </c>
      <c r="I593" s="4">
        <v>46</v>
      </c>
      <c r="J593" s="4" t="s">
        <v>17</v>
      </c>
      <c r="K593" s="4">
        <v>4</v>
      </c>
      <c r="L593" s="5">
        <v>500</v>
      </c>
      <c r="M593" s="5">
        <f>K593 * L593</f>
        <v>2000</v>
      </c>
      <c r="N593" s="5">
        <f>M593 * $Q$4</f>
        <v>30</v>
      </c>
      <c r="O593" s="5">
        <f>M593* $Q$5</f>
        <v>40</v>
      </c>
    </row>
    <row r="594" spans="1:15">
      <c r="A594" s="2">
        <v>593</v>
      </c>
      <c r="B594" s="4">
        <f t="shared" si="27"/>
        <v>6</v>
      </c>
      <c r="C594" s="4">
        <f t="shared" si="28"/>
        <v>5</v>
      </c>
      <c r="D594" s="4">
        <f t="shared" si="29"/>
        <v>2023</v>
      </c>
      <c r="E594" s="3">
        <v>45052</v>
      </c>
      <c r="F594" s="4" t="s">
        <v>619</v>
      </c>
      <c r="G594" s="4" t="s">
        <v>16</v>
      </c>
      <c r="H594" s="4" t="str" cm="1">
        <f t="array" ref="H594">_xlfn.IFS(I594&lt;30, "Young Adult", I594&gt;=50, "Senior", I594&gt;=30, "Adult")</f>
        <v>Adult</v>
      </c>
      <c r="I594" s="4">
        <v>35</v>
      </c>
      <c r="J594" s="4" t="s">
        <v>24</v>
      </c>
      <c r="K594" s="4">
        <v>2</v>
      </c>
      <c r="L594" s="5">
        <v>30</v>
      </c>
      <c r="M594" s="5">
        <f>K594 * L594</f>
        <v>60</v>
      </c>
      <c r="N594" s="5">
        <f>M594 * $Q$4</f>
        <v>0.89999999999999991</v>
      </c>
      <c r="O594" s="5">
        <f>M594* $Q$5</f>
        <v>1.2</v>
      </c>
    </row>
    <row r="595" spans="1:15">
      <c r="A595" s="2">
        <v>594</v>
      </c>
      <c r="B595" s="4">
        <f t="shared" si="27"/>
        <v>1</v>
      </c>
      <c r="C595" s="4">
        <f t="shared" si="28"/>
        <v>9</v>
      </c>
      <c r="D595" s="4">
        <f t="shared" si="29"/>
        <v>2023</v>
      </c>
      <c r="E595" s="3">
        <v>45170</v>
      </c>
      <c r="F595" s="4" t="s">
        <v>620</v>
      </c>
      <c r="G595" s="4" t="s">
        <v>19</v>
      </c>
      <c r="H595" s="4" t="str" cm="1">
        <f t="array" ref="H595">_xlfn.IFS(I595&lt;30, "Young Adult", I595&gt;=50, "Senior", I595&gt;=30, "Adult")</f>
        <v>Young Adult</v>
      </c>
      <c r="I595" s="4">
        <v>19</v>
      </c>
      <c r="J595" s="4" t="s">
        <v>24</v>
      </c>
      <c r="K595" s="4">
        <v>2</v>
      </c>
      <c r="L595" s="5">
        <v>300</v>
      </c>
      <c r="M595" s="5">
        <f>K595 * L595</f>
        <v>600</v>
      </c>
      <c r="N595" s="5">
        <f>M595 * $Q$4</f>
        <v>9</v>
      </c>
      <c r="O595" s="5">
        <f>M595* $Q$5</f>
        <v>12</v>
      </c>
    </row>
    <row r="596" spans="1:15">
      <c r="A596" s="2">
        <v>595</v>
      </c>
      <c r="B596" s="4">
        <f t="shared" si="27"/>
        <v>9</v>
      </c>
      <c r="C596" s="4">
        <f t="shared" si="28"/>
        <v>11</v>
      </c>
      <c r="D596" s="4">
        <f t="shared" si="29"/>
        <v>2023</v>
      </c>
      <c r="E596" s="3">
        <v>45239</v>
      </c>
      <c r="F596" s="4" t="s">
        <v>621</v>
      </c>
      <c r="G596" s="4" t="s">
        <v>19</v>
      </c>
      <c r="H596" s="4" t="str" cm="1">
        <f t="array" ref="H596">_xlfn.IFS(I596&lt;30, "Young Adult", I596&gt;=50, "Senior", I596&gt;=30, "Adult")</f>
        <v>Young Adult</v>
      </c>
      <c r="I596" s="4">
        <v>18</v>
      </c>
      <c r="J596" s="4" t="s">
        <v>20</v>
      </c>
      <c r="K596" s="4">
        <v>4</v>
      </c>
      <c r="L596" s="5">
        <v>500</v>
      </c>
      <c r="M596" s="5">
        <f>K596 * L596</f>
        <v>2000</v>
      </c>
      <c r="N596" s="5">
        <f>M596 * $Q$4</f>
        <v>30</v>
      </c>
      <c r="O596" s="5">
        <f>M596* $Q$5</f>
        <v>40</v>
      </c>
    </row>
    <row r="597" spans="1:15">
      <c r="A597" s="2">
        <v>596</v>
      </c>
      <c r="B597" s="4">
        <f t="shared" si="27"/>
        <v>7</v>
      </c>
      <c r="C597" s="4">
        <f t="shared" si="28"/>
        <v>2</v>
      </c>
      <c r="D597" s="4">
        <f t="shared" si="29"/>
        <v>2023</v>
      </c>
      <c r="E597" s="3">
        <v>44964</v>
      </c>
      <c r="F597" s="4" t="s">
        <v>622</v>
      </c>
      <c r="G597" s="4" t="s">
        <v>19</v>
      </c>
      <c r="H597" s="4" t="str" cm="1">
        <f t="array" ref="H597">_xlfn.IFS(I597&lt;30, "Young Adult", I597&gt;=50, "Senior", I597&gt;=30, "Adult")</f>
        <v>Senior</v>
      </c>
      <c r="I597" s="4">
        <v>64</v>
      </c>
      <c r="J597" s="4" t="s">
        <v>24</v>
      </c>
      <c r="K597" s="4">
        <v>1</v>
      </c>
      <c r="L597" s="5">
        <v>300</v>
      </c>
      <c r="M597" s="5">
        <f>K597 * L597</f>
        <v>300</v>
      </c>
      <c r="N597" s="5">
        <f>M597 * $Q$4</f>
        <v>4.5</v>
      </c>
      <c r="O597" s="5">
        <f>M597* $Q$5</f>
        <v>6</v>
      </c>
    </row>
    <row r="598" spans="1:15">
      <c r="A598" s="2">
        <v>597</v>
      </c>
      <c r="B598" s="4">
        <f t="shared" si="27"/>
        <v>22</v>
      </c>
      <c r="C598" s="4">
        <f t="shared" si="28"/>
        <v>8</v>
      </c>
      <c r="D598" s="4">
        <f t="shared" si="29"/>
        <v>2023</v>
      </c>
      <c r="E598" s="3">
        <v>45160</v>
      </c>
      <c r="F598" s="4" t="s">
        <v>623</v>
      </c>
      <c r="G598" s="4" t="s">
        <v>16</v>
      </c>
      <c r="H598" s="4" t="str" cm="1">
        <f t="array" ref="H598">_xlfn.IFS(I598&lt;30, "Young Adult", I598&gt;=50, "Senior", I598&gt;=30, "Adult")</f>
        <v>Young Adult</v>
      </c>
      <c r="I598" s="4">
        <v>22</v>
      </c>
      <c r="J598" s="4" t="s">
        <v>17</v>
      </c>
      <c r="K598" s="4">
        <v>4</v>
      </c>
      <c r="L598" s="5">
        <v>300</v>
      </c>
      <c r="M598" s="5">
        <f>K598 * L598</f>
        <v>1200</v>
      </c>
      <c r="N598" s="5">
        <f>M598 * $Q$4</f>
        <v>18</v>
      </c>
      <c r="O598" s="5">
        <f>M598* $Q$5</f>
        <v>24</v>
      </c>
    </row>
    <row r="599" spans="1:15">
      <c r="A599" s="2">
        <v>598</v>
      </c>
      <c r="B599" s="4">
        <f t="shared" si="27"/>
        <v>1</v>
      </c>
      <c r="C599" s="4">
        <f t="shared" si="28"/>
        <v>8</v>
      </c>
      <c r="D599" s="4">
        <f t="shared" si="29"/>
        <v>2023</v>
      </c>
      <c r="E599" s="3">
        <v>45139</v>
      </c>
      <c r="F599" s="4" t="s">
        <v>624</v>
      </c>
      <c r="G599" s="4" t="s">
        <v>16</v>
      </c>
      <c r="H599" s="4" t="str" cm="1">
        <f t="array" ref="H599">_xlfn.IFS(I599&lt;30, "Young Adult", I599&gt;=50, "Senior", I599&gt;=30, "Adult")</f>
        <v>Adult</v>
      </c>
      <c r="I599" s="4">
        <v>37</v>
      </c>
      <c r="J599" s="4" t="s">
        <v>17</v>
      </c>
      <c r="K599" s="4">
        <v>4</v>
      </c>
      <c r="L599" s="5">
        <v>30</v>
      </c>
      <c r="M599" s="5">
        <f>K599 * L599</f>
        <v>120</v>
      </c>
      <c r="N599" s="5">
        <f>M599 * $Q$4</f>
        <v>1.7999999999999998</v>
      </c>
      <c r="O599" s="5">
        <f>M599* $Q$5</f>
        <v>2.4</v>
      </c>
    </row>
    <row r="600" spans="1:15">
      <c r="A600" s="2">
        <v>599</v>
      </c>
      <c r="B600" s="4">
        <f t="shared" si="27"/>
        <v>19</v>
      </c>
      <c r="C600" s="4">
        <f t="shared" si="28"/>
        <v>11</v>
      </c>
      <c r="D600" s="4">
        <f t="shared" si="29"/>
        <v>2023</v>
      </c>
      <c r="E600" s="3">
        <v>45249</v>
      </c>
      <c r="F600" s="4" t="s">
        <v>625</v>
      </c>
      <c r="G600" s="4" t="s">
        <v>19</v>
      </c>
      <c r="H600" s="4" t="str" cm="1">
        <f t="array" ref="H600">_xlfn.IFS(I600&lt;30, "Young Adult", I600&gt;=50, "Senior", I600&gt;=30, "Adult")</f>
        <v>Young Adult</v>
      </c>
      <c r="I600" s="4">
        <v>28</v>
      </c>
      <c r="J600" s="4" t="s">
        <v>17</v>
      </c>
      <c r="K600" s="4">
        <v>2</v>
      </c>
      <c r="L600" s="5">
        <v>50</v>
      </c>
      <c r="M600" s="5">
        <f>K600 * L600</f>
        <v>100</v>
      </c>
      <c r="N600" s="5">
        <f>M600 * $Q$4</f>
        <v>1.5</v>
      </c>
      <c r="O600" s="5">
        <f>M600* $Q$5</f>
        <v>2</v>
      </c>
    </row>
    <row r="601" spans="1:15">
      <c r="A601" s="2">
        <v>600</v>
      </c>
      <c r="B601" s="4">
        <f t="shared" si="27"/>
        <v>22</v>
      </c>
      <c r="C601" s="4">
        <f t="shared" si="28"/>
        <v>10</v>
      </c>
      <c r="D601" s="4">
        <f t="shared" si="29"/>
        <v>2023</v>
      </c>
      <c r="E601" s="3">
        <v>45221</v>
      </c>
      <c r="F601" s="4" t="s">
        <v>626</v>
      </c>
      <c r="G601" s="4" t="s">
        <v>19</v>
      </c>
      <c r="H601" s="4" t="str" cm="1">
        <f t="array" ref="H601">_xlfn.IFS(I601&lt;30, "Young Adult", I601&gt;=50, "Senior", I601&gt;=30, "Adult")</f>
        <v>Senior</v>
      </c>
      <c r="I601" s="4">
        <v>59</v>
      </c>
      <c r="J601" s="4" t="s">
        <v>17</v>
      </c>
      <c r="K601" s="4">
        <v>2</v>
      </c>
      <c r="L601" s="5">
        <v>500</v>
      </c>
      <c r="M601" s="5">
        <f>K601 * L601</f>
        <v>1000</v>
      </c>
      <c r="N601" s="5">
        <f>M601 * $Q$4</f>
        <v>15</v>
      </c>
      <c r="O601" s="5">
        <f>M601* $Q$5</f>
        <v>20</v>
      </c>
    </row>
    <row r="602" spans="1:15">
      <c r="A602" s="2">
        <v>601</v>
      </c>
      <c r="B602" s="4">
        <f t="shared" si="27"/>
        <v>10</v>
      </c>
      <c r="C602" s="4">
        <f t="shared" si="28"/>
        <v>4</v>
      </c>
      <c r="D602" s="4">
        <f t="shared" si="29"/>
        <v>2023</v>
      </c>
      <c r="E602" s="3">
        <v>45026</v>
      </c>
      <c r="F602" s="4" t="s">
        <v>627</v>
      </c>
      <c r="G602" s="4" t="s">
        <v>16</v>
      </c>
      <c r="H602" s="4" t="str" cm="1">
        <f t="array" ref="H602">_xlfn.IFS(I602&lt;30, "Young Adult", I602&gt;=50, "Senior", I602&gt;=30, "Adult")</f>
        <v>Young Adult</v>
      </c>
      <c r="I602" s="4">
        <v>19</v>
      </c>
      <c r="J602" s="4" t="s">
        <v>20</v>
      </c>
      <c r="K602" s="4">
        <v>1</v>
      </c>
      <c r="L602" s="5">
        <v>30</v>
      </c>
      <c r="M602" s="5">
        <f>K602 * L602</f>
        <v>30</v>
      </c>
      <c r="N602" s="5">
        <f>M602 * $Q$4</f>
        <v>0.44999999999999996</v>
      </c>
      <c r="O602" s="5">
        <f>M602* $Q$5</f>
        <v>0.6</v>
      </c>
    </row>
    <row r="603" spans="1:15">
      <c r="A603" s="2">
        <v>602</v>
      </c>
      <c r="B603" s="4">
        <f t="shared" si="27"/>
        <v>23</v>
      </c>
      <c r="C603" s="4">
        <f t="shared" si="28"/>
        <v>12</v>
      </c>
      <c r="D603" s="4">
        <f t="shared" si="29"/>
        <v>2023</v>
      </c>
      <c r="E603" s="3">
        <v>45283</v>
      </c>
      <c r="F603" s="4" t="s">
        <v>628</v>
      </c>
      <c r="G603" s="4" t="s">
        <v>19</v>
      </c>
      <c r="H603" s="4" t="str" cm="1">
        <f t="array" ref="H603">_xlfn.IFS(I603&lt;30, "Young Adult", I603&gt;=50, "Senior", I603&gt;=30, "Adult")</f>
        <v>Young Adult</v>
      </c>
      <c r="I603" s="4">
        <v>20</v>
      </c>
      <c r="J603" s="4" t="s">
        <v>24</v>
      </c>
      <c r="K603" s="4">
        <v>1</v>
      </c>
      <c r="L603" s="5">
        <v>300</v>
      </c>
      <c r="M603" s="5">
        <f>K603 * L603</f>
        <v>300</v>
      </c>
      <c r="N603" s="5">
        <f>M603 * $Q$4</f>
        <v>4.5</v>
      </c>
      <c r="O603" s="5">
        <f>M603* $Q$5</f>
        <v>6</v>
      </c>
    </row>
    <row r="604" spans="1:15">
      <c r="A604" s="2">
        <v>603</v>
      </c>
      <c r="B604" s="4">
        <f t="shared" si="27"/>
        <v>16</v>
      </c>
      <c r="C604" s="4">
        <f t="shared" si="28"/>
        <v>7</v>
      </c>
      <c r="D604" s="4">
        <f t="shared" si="29"/>
        <v>2023</v>
      </c>
      <c r="E604" s="3">
        <v>45123</v>
      </c>
      <c r="F604" s="4" t="s">
        <v>629</v>
      </c>
      <c r="G604" s="4" t="s">
        <v>19</v>
      </c>
      <c r="H604" s="4" t="str" cm="1">
        <f t="array" ref="H604">_xlfn.IFS(I604&lt;30, "Young Adult", I604&gt;=50, "Senior", I604&gt;=30, "Adult")</f>
        <v>Adult</v>
      </c>
      <c r="I604" s="4">
        <v>40</v>
      </c>
      <c r="J604" s="4" t="s">
        <v>20</v>
      </c>
      <c r="K604" s="4">
        <v>3</v>
      </c>
      <c r="L604" s="5">
        <v>30</v>
      </c>
      <c r="M604" s="5">
        <f>K604 * L604</f>
        <v>90</v>
      </c>
      <c r="N604" s="5">
        <f>M604 * $Q$4</f>
        <v>1.3499999999999999</v>
      </c>
      <c r="O604" s="5">
        <f>M604* $Q$5</f>
        <v>1.8</v>
      </c>
    </row>
    <row r="605" spans="1:15">
      <c r="A605" s="2">
        <v>604</v>
      </c>
      <c r="B605" s="4">
        <f t="shared" si="27"/>
        <v>11</v>
      </c>
      <c r="C605" s="4">
        <f t="shared" si="28"/>
        <v>9</v>
      </c>
      <c r="D605" s="4">
        <f t="shared" si="29"/>
        <v>2023</v>
      </c>
      <c r="E605" s="3">
        <v>45180</v>
      </c>
      <c r="F605" s="4" t="s">
        <v>630</v>
      </c>
      <c r="G605" s="4" t="s">
        <v>19</v>
      </c>
      <c r="H605" s="4" t="str" cm="1">
        <f t="array" ref="H605">_xlfn.IFS(I605&lt;30, "Young Adult", I605&gt;=50, "Senior", I605&gt;=30, "Adult")</f>
        <v>Young Adult</v>
      </c>
      <c r="I605" s="4">
        <v>29</v>
      </c>
      <c r="J605" s="4" t="s">
        <v>24</v>
      </c>
      <c r="K605" s="4">
        <v>4</v>
      </c>
      <c r="L605" s="5">
        <v>50</v>
      </c>
      <c r="M605" s="5">
        <f>K605 * L605</f>
        <v>200</v>
      </c>
      <c r="N605" s="5">
        <f>M605 * $Q$4</f>
        <v>3</v>
      </c>
      <c r="O605" s="5">
        <f>M605* $Q$5</f>
        <v>4</v>
      </c>
    </row>
    <row r="606" spans="1:15">
      <c r="A606" s="2">
        <v>605</v>
      </c>
      <c r="B606" s="4">
        <f t="shared" si="27"/>
        <v>24</v>
      </c>
      <c r="C606" s="4">
        <f t="shared" si="28"/>
        <v>7</v>
      </c>
      <c r="D606" s="4">
        <f t="shared" si="29"/>
        <v>2023</v>
      </c>
      <c r="E606" s="3">
        <v>45131</v>
      </c>
      <c r="F606" s="4" t="s">
        <v>631</v>
      </c>
      <c r="G606" s="4" t="s">
        <v>16</v>
      </c>
      <c r="H606" s="4" t="str" cm="1">
        <f t="array" ref="H606">_xlfn.IFS(I606&lt;30, "Young Adult", I606&gt;=50, "Senior", I606&gt;=30, "Adult")</f>
        <v>Adult</v>
      </c>
      <c r="I606" s="4">
        <v>37</v>
      </c>
      <c r="J606" s="4" t="s">
        <v>24</v>
      </c>
      <c r="K606" s="4">
        <v>2</v>
      </c>
      <c r="L606" s="5">
        <v>500</v>
      </c>
      <c r="M606" s="5">
        <f>K606 * L606</f>
        <v>1000</v>
      </c>
      <c r="N606" s="5">
        <f>M606 * $Q$4</f>
        <v>15</v>
      </c>
      <c r="O606" s="5">
        <f>M606* $Q$5</f>
        <v>20</v>
      </c>
    </row>
    <row r="607" spans="1:15">
      <c r="A607" s="2">
        <v>606</v>
      </c>
      <c r="B607" s="4">
        <f t="shared" si="27"/>
        <v>5</v>
      </c>
      <c r="C607" s="4">
        <f t="shared" si="28"/>
        <v>5</v>
      </c>
      <c r="D607" s="4">
        <f t="shared" si="29"/>
        <v>2023</v>
      </c>
      <c r="E607" s="3">
        <v>45051</v>
      </c>
      <c r="F607" s="4" t="s">
        <v>632</v>
      </c>
      <c r="G607" s="4" t="s">
        <v>16</v>
      </c>
      <c r="H607" s="4" t="str" cm="1">
        <f t="array" ref="H607">_xlfn.IFS(I607&lt;30, "Young Adult", I607&gt;=50, "Senior", I607&gt;=30, "Adult")</f>
        <v>Young Adult</v>
      </c>
      <c r="I607" s="4">
        <v>22</v>
      </c>
      <c r="J607" s="4" t="s">
        <v>24</v>
      </c>
      <c r="K607" s="4">
        <v>1</v>
      </c>
      <c r="L607" s="5">
        <v>50</v>
      </c>
      <c r="M607" s="5">
        <f>K607 * L607</f>
        <v>50</v>
      </c>
      <c r="N607" s="5">
        <f>M607 * $Q$4</f>
        <v>0.75</v>
      </c>
      <c r="O607" s="5">
        <f>M607* $Q$5</f>
        <v>1</v>
      </c>
    </row>
    <row r="608" spans="1:15">
      <c r="A608" s="2">
        <v>607</v>
      </c>
      <c r="B608" s="4">
        <f t="shared" si="27"/>
        <v>17</v>
      </c>
      <c r="C608" s="4">
        <f t="shared" si="28"/>
        <v>3</v>
      </c>
      <c r="D608" s="4">
        <f t="shared" si="29"/>
        <v>2023</v>
      </c>
      <c r="E608" s="3">
        <v>45002</v>
      </c>
      <c r="F608" s="4" t="s">
        <v>633</v>
      </c>
      <c r="G608" s="4" t="s">
        <v>16</v>
      </c>
      <c r="H608" s="4" t="str" cm="1">
        <f t="array" ref="H608">_xlfn.IFS(I608&lt;30, "Young Adult", I608&gt;=50, "Senior", I608&gt;=30, "Adult")</f>
        <v>Senior</v>
      </c>
      <c r="I608" s="4">
        <v>54</v>
      </c>
      <c r="J608" s="4" t="s">
        <v>20</v>
      </c>
      <c r="K608" s="4">
        <v>3</v>
      </c>
      <c r="L608" s="5">
        <v>25</v>
      </c>
      <c r="M608" s="5">
        <f>K608 * L608</f>
        <v>75</v>
      </c>
      <c r="N608" s="5">
        <f>M608 * $Q$4</f>
        <v>1.125</v>
      </c>
      <c r="O608" s="5">
        <f>M608* $Q$5</f>
        <v>1.5</v>
      </c>
    </row>
    <row r="609" spans="1:15">
      <c r="A609" s="2">
        <v>608</v>
      </c>
      <c r="B609" s="4">
        <f t="shared" si="27"/>
        <v>2</v>
      </c>
      <c r="C609" s="4">
        <f t="shared" si="28"/>
        <v>12</v>
      </c>
      <c r="D609" s="4">
        <f t="shared" si="29"/>
        <v>2023</v>
      </c>
      <c r="E609" s="3">
        <v>45262</v>
      </c>
      <c r="F609" s="4" t="s">
        <v>634</v>
      </c>
      <c r="G609" s="4" t="s">
        <v>19</v>
      </c>
      <c r="H609" s="4" t="str" cm="1">
        <f t="array" ref="H609">_xlfn.IFS(I609&lt;30, "Young Adult", I609&gt;=50, "Senior", I609&gt;=30, "Adult")</f>
        <v>Senior</v>
      </c>
      <c r="I609" s="4">
        <v>55</v>
      </c>
      <c r="J609" s="4" t="s">
        <v>24</v>
      </c>
      <c r="K609" s="4">
        <v>3</v>
      </c>
      <c r="L609" s="5">
        <v>500</v>
      </c>
      <c r="M609" s="5">
        <f>K609 * L609</f>
        <v>1500</v>
      </c>
      <c r="N609" s="5">
        <f>M609 * $Q$4</f>
        <v>22.5</v>
      </c>
      <c r="O609" s="5">
        <f>M609* $Q$5</f>
        <v>30</v>
      </c>
    </row>
    <row r="610" spans="1:15">
      <c r="A610" s="2">
        <v>609</v>
      </c>
      <c r="B610" s="4">
        <f t="shared" si="27"/>
        <v>19</v>
      </c>
      <c r="C610" s="4">
        <f t="shared" si="28"/>
        <v>12</v>
      </c>
      <c r="D610" s="4">
        <f t="shared" si="29"/>
        <v>2023</v>
      </c>
      <c r="E610" s="3">
        <v>45279</v>
      </c>
      <c r="F610" s="4" t="s">
        <v>635</v>
      </c>
      <c r="G610" s="4" t="s">
        <v>19</v>
      </c>
      <c r="H610" s="4" t="str" cm="1">
        <f t="array" ref="H610">_xlfn.IFS(I610&lt;30, "Young Adult", I610&gt;=50, "Senior", I610&gt;=30, "Adult")</f>
        <v>Adult</v>
      </c>
      <c r="I610" s="4">
        <v>47</v>
      </c>
      <c r="J610" s="4" t="s">
        <v>20</v>
      </c>
      <c r="K610" s="4">
        <v>2</v>
      </c>
      <c r="L610" s="5">
        <v>50</v>
      </c>
      <c r="M610" s="5">
        <f>K610 * L610</f>
        <v>100</v>
      </c>
      <c r="N610" s="5">
        <f>M610 * $Q$4</f>
        <v>1.5</v>
      </c>
      <c r="O610" s="5">
        <f>M610* $Q$5</f>
        <v>2</v>
      </c>
    </row>
    <row r="611" spans="1:15">
      <c r="A611" s="2">
        <v>610</v>
      </c>
      <c r="B611" s="4">
        <f t="shared" si="27"/>
        <v>3</v>
      </c>
      <c r="C611" s="4">
        <f t="shared" si="28"/>
        <v>1</v>
      </c>
      <c r="D611" s="4">
        <f t="shared" si="29"/>
        <v>2023</v>
      </c>
      <c r="E611" s="3">
        <v>44929</v>
      </c>
      <c r="F611" s="4" t="s">
        <v>636</v>
      </c>
      <c r="G611" s="4" t="s">
        <v>19</v>
      </c>
      <c r="H611" s="4" t="str" cm="1">
        <f t="array" ref="H611">_xlfn.IFS(I611&lt;30, "Young Adult", I611&gt;=50, "Senior", I611&gt;=30, "Adult")</f>
        <v>Young Adult</v>
      </c>
      <c r="I611" s="4">
        <v>26</v>
      </c>
      <c r="J611" s="4" t="s">
        <v>17</v>
      </c>
      <c r="K611" s="4">
        <v>2</v>
      </c>
      <c r="L611" s="5">
        <v>300</v>
      </c>
      <c r="M611" s="5">
        <f>K611 * L611</f>
        <v>600</v>
      </c>
      <c r="N611" s="5">
        <f>M611 * $Q$4</f>
        <v>9</v>
      </c>
      <c r="O611" s="5">
        <f>M611* $Q$5</f>
        <v>12</v>
      </c>
    </row>
    <row r="612" spans="1:15">
      <c r="A612" s="2">
        <v>611</v>
      </c>
      <c r="B612" s="4">
        <f t="shared" si="27"/>
        <v>24</v>
      </c>
      <c r="C612" s="4">
        <f t="shared" si="28"/>
        <v>2</v>
      </c>
      <c r="D612" s="4">
        <f t="shared" si="29"/>
        <v>2023</v>
      </c>
      <c r="E612" s="3">
        <v>44981</v>
      </c>
      <c r="F612" s="4" t="s">
        <v>637</v>
      </c>
      <c r="G612" s="4" t="s">
        <v>16</v>
      </c>
      <c r="H612" s="4" t="str" cm="1">
        <f t="array" ref="H612">_xlfn.IFS(I612&lt;30, "Young Adult", I612&gt;=50, "Senior", I612&gt;=30, "Adult")</f>
        <v>Senior</v>
      </c>
      <c r="I612" s="4">
        <v>51</v>
      </c>
      <c r="J612" s="4" t="s">
        <v>17</v>
      </c>
      <c r="K612" s="4">
        <v>3</v>
      </c>
      <c r="L612" s="5">
        <v>500</v>
      </c>
      <c r="M612" s="5">
        <f>K612 * L612</f>
        <v>1500</v>
      </c>
      <c r="N612" s="5">
        <f>M612 * $Q$4</f>
        <v>22.5</v>
      </c>
      <c r="O612" s="5">
        <f>M612* $Q$5</f>
        <v>30</v>
      </c>
    </row>
    <row r="613" spans="1:15">
      <c r="A613" s="2">
        <v>612</v>
      </c>
      <c r="B613" s="4">
        <f t="shared" si="27"/>
        <v>6</v>
      </c>
      <c r="C613" s="4">
        <f t="shared" si="28"/>
        <v>8</v>
      </c>
      <c r="D613" s="4">
        <f t="shared" si="29"/>
        <v>2023</v>
      </c>
      <c r="E613" s="3">
        <v>45144</v>
      </c>
      <c r="F613" s="4" t="s">
        <v>638</v>
      </c>
      <c r="G613" s="4" t="s">
        <v>19</v>
      </c>
      <c r="H613" s="4" t="str" cm="1">
        <f t="array" ref="H613">_xlfn.IFS(I613&lt;30, "Young Adult", I613&gt;=50, "Senior", I613&gt;=30, "Adult")</f>
        <v>Senior</v>
      </c>
      <c r="I613" s="4">
        <v>61</v>
      </c>
      <c r="J613" s="4" t="s">
        <v>24</v>
      </c>
      <c r="K613" s="4">
        <v>1</v>
      </c>
      <c r="L613" s="5">
        <v>500</v>
      </c>
      <c r="M613" s="5">
        <f>K613 * L613</f>
        <v>500</v>
      </c>
      <c r="N613" s="5">
        <f>M613 * $Q$4</f>
        <v>7.5</v>
      </c>
      <c r="O613" s="5">
        <f>M613* $Q$5</f>
        <v>10</v>
      </c>
    </row>
    <row r="614" spans="1:15">
      <c r="A614" s="2">
        <v>613</v>
      </c>
      <c r="B614" s="4">
        <f t="shared" si="27"/>
        <v>23</v>
      </c>
      <c r="C614" s="4">
        <f t="shared" si="28"/>
        <v>4</v>
      </c>
      <c r="D614" s="4">
        <f t="shared" si="29"/>
        <v>2023</v>
      </c>
      <c r="E614" s="3">
        <v>45039</v>
      </c>
      <c r="F614" s="4" t="s">
        <v>639</v>
      </c>
      <c r="G614" s="4" t="s">
        <v>19</v>
      </c>
      <c r="H614" s="4" t="str" cm="1">
        <f t="array" ref="H614">_xlfn.IFS(I614&lt;30, "Young Adult", I614&gt;=50, "Senior", I614&gt;=30, "Adult")</f>
        <v>Senior</v>
      </c>
      <c r="I614" s="4">
        <v>52</v>
      </c>
      <c r="J614" s="4" t="s">
        <v>20</v>
      </c>
      <c r="K614" s="4">
        <v>3</v>
      </c>
      <c r="L614" s="5">
        <v>30</v>
      </c>
      <c r="M614" s="5">
        <f>K614 * L614</f>
        <v>90</v>
      </c>
      <c r="N614" s="5">
        <f>M614 * $Q$4</f>
        <v>1.3499999999999999</v>
      </c>
      <c r="O614" s="5">
        <f>M614* $Q$5</f>
        <v>1.8</v>
      </c>
    </row>
    <row r="615" spans="1:15">
      <c r="A615" s="2">
        <v>614</v>
      </c>
      <c r="B615" s="4">
        <f t="shared" si="27"/>
        <v>1</v>
      </c>
      <c r="C615" s="4">
        <f t="shared" si="28"/>
        <v>4</v>
      </c>
      <c r="D615" s="4">
        <f t="shared" si="29"/>
        <v>2023</v>
      </c>
      <c r="E615" s="3">
        <v>45017</v>
      </c>
      <c r="F615" s="4" t="s">
        <v>640</v>
      </c>
      <c r="G615" s="4" t="s">
        <v>19</v>
      </c>
      <c r="H615" s="4" t="str" cm="1">
        <f t="array" ref="H615">_xlfn.IFS(I615&lt;30, "Young Adult", I615&gt;=50, "Senior", I615&gt;=30, "Adult")</f>
        <v>Adult</v>
      </c>
      <c r="I615" s="4">
        <v>39</v>
      </c>
      <c r="J615" s="4" t="s">
        <v>17</v>
      </c>
      <c r="K615" s="4">
        <v>4</v>
      </c>
      <c r="L615" s="5">
        <v>300</v>
      </c>
      <c r="M615" s="5">
        <f>K615 * L615</f>
        <v>1200</v>
      </c>
      <c r="N615" s="5">
        <f>M615 * $Q$4</f>
        <v>18</v>
      </c>
      <c r="O615" s="5">
        <f>M615* $Q$5</f>
        <v>24</v>
      </c>
    </row>
    <row r="616" spans="1:15">
      <c r="A616" s="2">
        <v>615</v>
      </c>
      <c r="B616" s="4">
        <f t="shared" si="27"/>
        <v>23</v>
      </c>
      <c r="C616" s="4">
        <f t="shared" si="28"/>
        <v>12</v>
      </c>
      <c r="D616" s="4">
        <f t="shared" si="29"/>
        <v>2023</v>
      </c>
      <c r="E616" s="3">
        <v>45283</v>
      </c>
      <c r="F616" s="4" t="s">
        <v>641</v>
      </c>
      <c r="G616" s="4" t="s">
        <v>19</v>
      </c>
      <c r="H616" s="4" t="str" cm="1">
        <f t="array" ref="H616">_xlfn.IFS(I616&lt;30, "Young Adult", I616&gt;=50, "Senior", I616&gt;=30, "Adult")</f>
        <v>Senior</v>
      </c>
      <c r="I616" s="4">
        <v>61</v>
      </c>
      <c r="J616" s="4" t="s">
        <v>20</v>
      </c>
      <c r="K616" s="4">
        <v>4</v>
      </c>
      <c r="L616" s="5">
        <v>25</v>
      </c>
      <c r="M616" s="5">
        <f>K616 * L616</f>
        <v>100</v>
      </c>
      <c r="N616" s="5">
        <f>M616 * $Q$4</f>
        <v>1.5</v>
      </c>
      <c r="O616" s="5">
        <f>M616* $Q$5</f>
        <v>2</v>
      </c>
    </row>
    <row r="617" spans="1:15">
      <c r="A617" s="2">
        <v>616</v>
      </c>
      <c r="B617" s="4">
        <f t="shared" si="27"/>
        <v>23</v>
      </c>
      <c r="C617" s="4">
        <f t="shared" si="28"/>
        <v>9</v>
      </c>
      <c r="D617" s="4">
        <f t="shared" si="29"/>
        <v>2023</v>
      </c>
      <c r="E617" s="3">
        <v>45192</v>
      </c>
      <c r="F617" s="4" t="s">
        <v>642</v>
      </c>
      <c r="G617" s="4" t="s">
        <v>16</v>
      </c>
      <c r="H617" s="4" t="str" cm="1">
        <f t="array" ref="H617">_xlfn.IFS(I617&lt;30, "Young Adult", I617&gt;=50, "Senior", I617&gt;=30, "Adult")</f>
        <v>Adult</v>
      </c>
      <c r="I617" s="4">
        <v>41</v>
      </c>
      <c r="J617" s="4" t="s">
        <v>20</v>
      </c>
      <c r="K617" s="4">
        <v>2</v>
      </c>
      <c r="L617" s="5">
        <v>50</v>
      </c>
      <c r="M617" s="5">
        <f>K617 * L617</f>
        <v>100</v>
      </c>
      <c r="N617" s="5">
        <f>M617 * $Q$4</f>
        <v>1.5</v>
      </c>
      <c r="O617" s="5">
        <f>M617* $Q$5</f>
        <v>2</v>
      </c>
    </row>
    <row r="618" spans="1:15">
      <c r="A618" s="2">
        <v>617</v>
      </c>
      <c r="B618" s="4">
        <f t="shared" si="27"/>
        <v>26</v>
      </c>
      <c r="C618" s="4">
        <f t="shared" si="28"/>
        <v>8</v>
      </c>
      <c r="D618" s="4">
        <f t="shared" si="29"/>
        <v>2023</v>
      </c>
      <c r="E618" s="3">
        <v>45164</v>
      </c>
      <c r="F618" s="4" t="s">
        <v>643</v>
      </c>
      <c r="G618" s="4" t="s">
        <v>16</v>
      </c>
      <c r="H618" s="4" t="str" cm="1">
        <f t="array" ref="H618">_xlfn.IFS(I618&lt;30, "Young Adult", I618&gt;=50, "Senior", I618&gt;=30, "Adult")</f>
        <v>Adult</v>
      </c>
      <c r="I618" s="4">
        <v>34</v>
      </c>
      <c r="J618" s="4" t="s">
        <v>24</v>
      </c>
      <c r="K618" s="4">
        <v>1</v>
      </c>
      <c r="L618" s="5">
        <v>30</v>
      </c>
      <c r="M618" s="5">
        <f>K618 * L618</f>
        <v>30</v>
      </c>
      <c r="N618" s="5">
        <f>M618 * $Q$4</f>
        <v>0.44999999999999996</v>
      </c>
      <c r="O618" s="5">
        <f>M618* $Q$5</f>
        <v>0.6</v>
      </c>
    </row>
    <row r="619" spans="1:15">
      <c r="A619" s="2">
        <v>618</v>
      </c>
      <c r="B619" s="4">
        <f t="shared" si="27"/>
        <v>26</v>
      </c>
      <c r="C619" s="4">
        <f t="shared" si="28"/>
        <v>1</v>
      </c>
      <c r="D619" s="4">
        <f t="shared" si="29"/>
        <v>2023</v>
      </c>
      <c r="E619" s="3">
        <v>44952</v>
      </c>
      <c r="F619" s="4" t="s">
        <v>644</v>
      </c>
      <c r="G619" s="4" t="s">
        <v>19</v>
      </c>
      <c r="H619" s="4" t="str" cm="1">
        <f t="array" ref="H619">_xlfn.IFS(I619&lt;30, "Young Adult", I619&gt;=50, "Senior", I619&gt;=30, "Adult")</f>
        <v>Young Adult</v>
      </c>
      <c r="I619" s="4">
        <v>27</v>
      </c>
      <c r="J619" s="4" t="s">
        <v>17</v>
      </c>
      <c r="K619" s="4">
        <v>1</v>
      </c>
      <c r="L619" s="5">
        <v>50</v>
      </c>
      <c r="M619" s="5">
        <f>K619 * L619</f>
        <v>50</v>
      </c>
      <c r="N619" s="5">
        <f>M619 * $Q$4</f>
        <v>0.75</v>
      </c>
      <c r="O619" s="5">
        <f>M619* $Q$5</f>
        <v>1</v>
      </c>
    </row>
    <row r="620" spans="1:15">
      <c r="A620" s="2">
        <v>619</v>
      </c>
      <c r="B620" s="4">
        <f t="shared" si="27"/>
        <v>13</v>
      </c>
      <c r="C620" s="4">
        <f t="shared" si="28"/>
        <v>10</v>
      </c>
      <c r="D620" s="4">
        <f t="shared" si="29"/>
        <v>2023</v>
      </c>
      <c r="E620" s="3">
        <v>45212</v>
      </c>
      <c r="F620" s="4" t="s">
        <v>645</v>
      </c>
      <c r="G620" s="4" t="s">
        <v>16</v>
      </c>
      <c r="H620" s="4" t="str" cm="1">
        <f t="array" ref="H620">_xlfn.IFS(I620&lt;30, "Young Adult", I620&gt;=50, "Senior", I620&gt;=30, "Adult")</f>
        <v>Adult</v>
      </c>
      <c r="I620" s="4">
        <v>47</v>
      </c>
      <c r="J620" s="4" t="s">
        <v>24</v>
      </c>
      <c r="K620" s="4">
        <v>4</v>
      </c>
      <c r="L620" s="5">
        <v>25</v>
      </c>
      <c r="M620" s="5">
        <f>K620 * L620</f>
        <v>100</v>
      </c>
      <c r="N620" s="5">
        <f>M620 * $Q$4</f>
        <v>1.5</v>
      </c>
      <c r="O620" s="5">
        <f>M620* $Q$5</f>
        <v>2</v>
      </c>
    </row>
    <row r="621" spans="1:15">
      <c r="A621" s="2">
        <v>620</v>
      </c>
      <c r="B621" s="4">
        <f t="shared" si="27"/>
        <v>8</v>
      </c>
      <c r="C621" s="4">
        <f t="shared" si="28"/>
        <v>5</v>
      </c>
      <c r="D621" s="4">
        <f t="shared" si="29"/>
        <v>2023</v>
      </c>
      <c r="E621" s="3">
        <v>45054</v>
      </c>
      <c r="F621" s="4" t="s">
        <v>646</v>
      </c>
      <c r="G621" s="4" t="s">
        <v>16</v>
      </c>
      <c r="H621" s="4" t="str" cm="1">
        <f t="array" ref="H621">_xlfn.IFS(I621&lt;30, "Young Adult", I621&gt;=50, "Senior", I621&gt;=30, "Adult")</f>
        <v>Senior</v>
      </c>
      <c r="I621" s="4">
        <v>63</v>
      </c>
      <c r="J621" s="4" t="s">
        <v>24</v>
      </c>
      <c r="K621" s="4">
        <v>3</v>
      </c>
      <c r="L621" s="5">
        <v>25</v>
      </c>
      <c r="M621" s="5">
        <f>K621 * L621</f>
        <v>75</v>
      </c>
      <c r="N621" s="5">
        <f>M621 * $Q$4</f>
        <v>1.125</v>
      </c>
      <c r="O621" s="5">
        <f>M621* $Q$5</f>
        <v>1.5</v>
      </c>
    </row>
    <row r="622" spans="1:15">
      <c r="A622" s="2">
        <v>621</v>
      </c>
      <c r="B622" s="4">
        <f t="shared" si="27"/>
        <v>4</v>
      </c>
      <c r="C622" s="4">
        <f t="shared" si="28"/>
        <v>3</v>
      </c>
      <c r="D622" s="4">
        <f t="shared" si="29"/>
        <v>2023</v>
      </c>
      <c r="E622" s="3">
        <v>44989</v>
      </c>
      <c r="F622" s="4" t="s">
        <v>647</v>
      </c>
      <c r="G622" s="4" t="s">
        <v>19</v>
      </c>
      <c r="H622" s="4" t="str" cm="1">
        <f t="array" ref="H622">_xlfn.IFS(I622&lt;30, "Young Adult", I622&gt;=50, "Senior", I622&gt;=30, "Adult")</f>
        <v>Adult</v>
      </c>
      <c r="I622" s="4">
        <v>40</v>
      </c>
      <c r="J622" s="4" t="s">
        <v>17</v>
      </c>
      <c r="K622" s="4">
        <v>2</v>
      </c>
      <c r="L622" s="5">
        <v>500</v>
      </c>
      <c r="M622" s="5">
        <f>K622 * L622</f>
        <v>1000</v>
      </c>
      <c r="N622" s="5">
        <f>M622 * $Q$4</f>
        <v>15</v>
      </c>
      <c r="O622" s="5">
        <f>M622* $Q$5</f>
        <v>20</v>
      </c>
    </row>
    <row r="623" spans="1:15">
      <c r="A623" s="2">
        <v>622</v>
      </c>
      <c r="B623" s="4">
        <f t="shared" si="27"/>
        <v>22</v>
      </c>
      <c r="C623" s="4">
        <f t="shared" si="28"/>
        <v>8</v>
      </c>
      <c r="D623" s="4">
        <f t="shared" si="29"/>
        <v>2023</v>
      </c>
      <c r="E623" s="3">
        <v>45160</v>
      </c>
      <c r="F623" s="4" t="s">
        <v>648</v>
      </c>
      <c r="G623" s="4" t="s">
        <v>19</v>
      </c>
      <c r="H623" s="4" t="str" cm="1">
        <f t="array" ref="H623">_xlfn.IFS(I623&lt;30, "Young Adult", I623&gt;=50, "Senior", I623&gt;=30, "Adult")</f>
        <v>Adult</v>
      </c>
      <c r="I623" s="4">
        <v>49</v>
      </c>
      <c r="J623" s="4" t="s">
        <v>17</v>
      </c>
      <c r="K623" s="4">
        <v>3</v>
      </c>
      <c r="L623" s="5">
        <v>25</v>
      </c>
      <c r="M623" s="5">
        <f>K623 * L623</f>
        <v>75</v>
      </c>
      <c r="N623" s="5">
        <f>M623 * $Q$4</f>
        <v>1.125</v>
      </c>
      <c r="O623" s="5">
        <f>M623* $Q$5</f>
        <v>1.5</v>
      </c>
    </row>
    <row r="624" spans="1:15">
      <c r="A624" s="2">
        <v>623</v>
      </c>
      <c r="B624" s="4">
        <f t="shared" si="27"/>
        <v>10</v>
      </c>
      <c r="C624" s="4">
        <f t="shared" si="28"/>
        <v>3</v>
      </c>
      <c r="D624" s="4">
        <f t="shared" si="29"/>
        <v>2023</v>
      </c>
      <c r="E624" s="3">
        <v>44995</v>
      </c>
      <c r="F624" s="4" t="s">
        <v>649</v>
      </c>
      <c r="G624" s="4" t="s">
        <v>16</v>
      </c>
      <c r="H624" s="4" t="str" cm="1">
        <f t="array" ref="H624">_xlfn.IFS(I624&lt;30, "Young Adult", I624&gt;=50, "Senior", I624&gt;=30, "Adult")</f>
        <v>Adult</v>
      </c>
      <c r="I624" s="4">
        <v>34</v>
      </c>
      <c r="J624" s="4" t="s">
        <v>20</v>
      </c>
      <c r="K624" s="4">
        <v>3</v>
      </c>
      <c r="L624" s="5">
        <v>50</v>
      </c>
      <c r="M624" s="5">
        <f>K624 * L624</f>
        <v>150</v>
      </c>
      <c r="N624" s="5">
        <f>M624 * $Q$4</f>
        <v>2.25</v>
      </c>
      <c r="O624" s="5">
        <f>M624* $Q$5</f>
        <v>3</v>
      </c>
    </row>
    <row r="625" spans="1:15">
      <c r="A625" s="2">
        <v>624</v>
      </c>
      <c r="B625" s="4">
        <f t="shared" si="27"/>
        <v>26</v>
      </c>
      <c r="C625" s="4">
        <f t="shared" si="28"/>
        <v>8</v>
      </c>
      <c r="D625" s="4">
        <f t="shared" si="29"/>
        <v>2023</v>
      </c>
      <c r="E625" s="3">
        <v>45164</v>
      </c>
      <c r="F625" s="4" t="s">
        <v>650</v>
      </c>
      <c r="G625" s="4" t="s">
        <v>19</v>
      </c>
      <c r="H625" s="4" t="str" cm="1">
        <f t="array" ref="H625">_xlfn.IFS(I625&lt;30, "Young Adult", I625&gt;=50, "Senior", I625&gt;=30, "Adult")</f>
        <v>Adult</v>
      </c>
      <c r="I625" s="4">
        <v>34</v>
      </c>
      <c r="J625" s="4" t="s">
        <v>17</v>
      </c>
      <c r="K625" s="4">
        <v>3</v>
      </c>
      <c r="L625" s="5">
        <v>300</v>
      </c>
      <c r="M625" s="5">
        <f>K625 * L625</f>
        <v>900</v>
      </c>
      <c r="N625" s="5">
        <f>M625 * $Q$4</f>
        <v>13.5</v>
      </c>
      <c r="O625" s="5">
        <f>M625* $Q$5</f>
        <v>18</v>
      </c>
    </row>
    <row r="626" spans="1:15">
      <c r="A626" s="2">
        <v>625</v>
      </c>
      <c r="B626" s="4">
        <f t="shared" si="27"/>
        <v>8</v>
      </c>
      <c r="C626" s="4">
        <f t="shared" si="28"/>
        <v>12</v>
      </c>
      <c r="D626" s="4">
        <f t="shared" si="29"/>
        <v>2023</v>
      </c>
      <c r="E626" s="3">
        <v>45268</v>
      </c>
      <c r="F626" s="4" t="s">
        <v>651</v>
      </c>
      <c r="G626" s="4" t="s">
        <v>16</v>
      </c>
      <c r="H626" s="4" t="str" cm="1">
        <f t="array" ref="H626">_xlfn.IFS(I626&lt;30, "Young Adult", I626&gt;=50, "Senior", I626&gt;=30, "Adult")</f>
        <v>Adult</v>
      </c>
      <c r="I626" s="4">
        <v>31</v>
      </c>
      <c r="J626" s="4" t="s">
        <v>20</v>
      </c>
      <c r="K626" s="4">
        <v>1</v>
      </c>
      <c r="L626" s="5">
        <v>300</v>
      </c>
      <c r="M626" s="5">
        <f>K626 * L626</f>
        <v>300</v>
      </c>
      <c r="N626" s="5">
        <f>M626 * $Q$4</f>
        <v>4.5</v>
      </c>
      <c r="O626" s="5">
        <f>M626* $Q$5</f>
        <v>6</v>
      </c>
    </row>
    <row r="627" spans="1:15">
      <c r="A627" s="2">
        <v>626</v>
      </c>
      <c r="B627" s="4">
        <f t="shared" si="27"/>
        <v>29</v>
      </c>
      <c r="C627" s="4">
        <f t="shared" si="28"/>
        <v>9</v>
      </c>
      <c r="D627" s="4">
        <f t="shared" si="29"/>
        <v>2023</v>
      </c>
      <c r="E627" s="3">
        <v>45198</v>
      </c>
      <c r="F627" s="4" t="s">
        <v>652</v>
      </c>
      <c r="G627" s="4" t="s">
        <v>19</v>
      </c>
      <c r="H627" s="4" t="str" cm="1">
        <f t="array" ref="H627">_xlfn.IFS(I627&lt;30, "Young Adult", I627&gt;=50, "Senior", I627&gt;=30, "Adult")</f>
        <v>Young Adult</v>
      </c>
      <c r="I627" s="4">
        <v>26</v>
      </c>
      <c r="J627" s="4" t="s">
        <v>20</v>
      </c>
      <c r="K627" s="4">
        <v>4</v>
      </c>
      <c r="L627" s="5">
        <v>500</v>
      </c>
      <c r="M627" s="5">
        <f>K627 * L627</f>
        <v>2000</v>
      </c>
      <c r="N627" s="5">
        <f>M627 * $Q$4</f>
        <v>30</v>
      </c>
      <c r="O627" s="5">
        <f>M627* $Q$5</f>
        <v>40</v>
      </c>
    </row>
    <row r="628" spans="1:15">
      <c r="A628" s="2">
        <v>627</v>
      </c>
      <c r="B628" s="4">
        <f t="shared" si="27"/>
        <v>14</v>
      </c>
      <c r="C628" s="4">
        <f t="shared" si="28"/>
        <v>10</v>
      </c>
      <c r="D628" s="4">
        <f t="shared" si="29"/>
        <v>2023</v>
      </c>
      <c r="E628" s="3">
        <v>45213</v>
      </c>
      <c r="F628" s="4" t="s">
        <v>653</v>
      </c>
      <c r="G628" s="4" t="s">
        <v>16</v>
      </c>
      <c r="H628" s="4" t="str" cm="1">
        <f t="array" ref="H628">_xlfn.IFS(I628&lt;30, "Young Adult", I628&gt;=50, "Senior", I628&gt;=30, "Adult")</f>
        <v>Senior</v>
      </c>
      <c r="I628" s="4">
        <v>57</v>
      </c>
      <c r="J628" s="4" t="s">
        <v>20</v>
      </c>
      <c r="K628" s="4">
        <v>1</v>
      </c>
      <c r="L628" s="5">
        <v>50</v>
      </c>
      <c r="M628" s="5">
        <f>K628 * L628</f>
        <v>50</v>
      </c>
      <c r="N628" s="5">
        <f>M628 * $Q$4</f>
        <v>0.75</v>
      </c>
      <c r="O628" s="5">
        <f>M628* $Q$5</f>
        <v>1</v>
      </c>
    </row>
    <row r="629" spans="1:15">
      <c r="A629" s="2">
        <v>628</v>
      </c>
      <c r="B629" s="4">
        <f t="shared" si="27"/>
        <v>1</v>
      </c>
      <c r="C629" s="4">
        <f t="shared" si="28"/>
        <v>11</v>
      </c>
      <c r="D629" s="4">
        <f t="shared" si="29"/>
        <v>2023</v>
      </c>
      <c r="E629" s="3">
        <v>45231</v>
      </c>
      <c r="F629" s="4" t="s">
        <v>654</v>
      </c>
      <c r="G629" s="4" t="s">
        <v>19</v>
      </c>
      <c r="H629" s="4" t="str" cm="1">
        <f t="array" ref="H629">_xlfn.IFS(I629&lt;30, "Young Adult", I629&gt;=50, "Senior", I629&gt;=30, "Adult")</f>
        <v>Young Adult</v>
      </c>
      <c r="I629" s="4">
        <v>19</v>
      </c>
      <c r="J629" s="4" t="s">
        <v>17</v>
      </c>
      <c r="K629" s="4">
        <v>4</v>
      </c>
      <c r="L629" s="5">
        <v>50</v>
      </c>
      <c r="M629" s="5">
        <f>K629 * L629</f>
        <v>200</v>
      </c>
      <c r="N629" s="5">
        <f>M629 * $Q$4</f>
        <v>3</v>
      </c>
      <c r="O629" s="5">
        <f>M629* $Q$5</f>
        <v>4</v>
      </c>
    </row>
    <row r="630" spans="1:15">
      <c r="A630" s="2">
        <v>629</v>
      </c>
      <c r="B630" s="4">
        <f t="shared" si="27"/>
        <v>12</v>
      </c>
      <c r="C630" s="4">
        <f t="shared" si="28"/>
        <v>6</v>
      </c>
      <c r="D630" s="4">
        <f t="shared" si="29"/>
        <v>2023</v>
      </c>
      <c r="E630" s="3">
        <v>45089</v>
      </c>
      <c r="F630" s="4" t="s">
        <v>655</v>
      </c>
      <c r="G630" s="4" t="s">
        <v>16</v>
      </c>
      <c r="H630" s="4" t="str" cm="1">
        <f t="array" ref="H630">_xlfn.IFS(I630&lt;30, "Young Adult", I630&gt;=50, "Senior", I630&gt;=30, "Adult")</f>
        <v>Senior</v>
      </c>
      <c r="I630" s="4">
        <v>62</v>
      </c>
      <c r="J630" s="4" t="s">
        <v>24</v>
      </c>
      <c r="K630" s="4">
        <v>2</v>
      </c>
      <c r="L630" s="5">
        <v>25</v>
      </c>
      <c r="M630" s="5">
        <f>K630 * L630</f>
        <v>50</v>
      </c>
      <c r="N630" s="5">
        <f>M630 * $Q$4</f>
        <v>0.75</v>
      </c>
      <c r="O630" s="5">
        <f>M630* $Q$5</f>
        <v>1</v>
      </c>
    </row>
    <row r="631" spans="1:15">
      <c r="A631" s="2">
        <v>630</v>
      </c>
      <c r="B631" s="4">
        <f t="shared" si="27"/>
        <v>15</v>
      </c>
      <c r="C631" s="4">
        <f t="shared" si="28"/>
        <v>8</v>
      </c>
      <c r="D631" s="4">
        <f t="shared" si="29"/>
        <v>2023</v>
      </c>
      <c r="E631" s="3">
        <v>45153</v>
      </c>
      <c r="F631" s="4" t="s">
        <v>656</v>
      </c>
      <c r="G631" s="4" t="s">
        <v>16</v>
      </c>
      <c r="H631" s="4" t="str" cm="1">
        <f t="array" ref="H631">_xlfn.IFS(I631&lt;30, "Young Adult", I631&gt;=50, "Senior", I631&gt;=30, "Adult")</f>
        <v>Adult</v>
      </c>
      <c r="I631" s="4">
        <v>42</v>
      </c>
      <c r="J631" s="4" t="s">
        <v>20</v>
      </c>
      <c r="K631" s="4">
        <v>2</v>
      </c>
      <c r="L631" s="5">
        <v>50</v>
      </c>
      <c r="M631" s="5">
        <f>K631 * L631</f>
        <v>100</v>
      </c>
      <c r="N631" s="5">
        <f>M631 * $Q$4</f>
        <v>1.5</v>
      </c>
      <c r="O631" s="5">
        <f>M631* $Q$5</f>
        <v>2</v>
      </c>
    </row>
    <row r="632" spans="1:15">
      <c r="A632" s="2">
        <v>631</v>
      </c>
      <c r="B632" s="4">
        <f t="shared" si="27"/>
        <v>10</v>
      </c>
      <c r="C632" s="4">
        <f t="shared" si="28"/>
        <v>11</v>
      </c>
      <c r="D632" s="4">
        <f t="shared" si="29"/>
        <v>2023</v>
      </c>
      <c r="E632" s="3">
        <v>45240</v>
      </c>
      <c r="F632" s="4" t="s">
        <v>657</v>
      </c>
      <c r="G632" s="4" t="s">
        <v>16</v>
      </c>
      <c r="H632" s="4" t="str" cm="1">
        <f t="array" ref="H632">_xlfn.IFS(I632&lt;30, "Young Adult", I632&gt;=50, "Senior", I632&gt;=30, "Adult")</f>
        <v>Senior</v>
      </c>
      <c r="I632" s="4">
        <v>56</v>
      </c>
      <c r="J632" s="4" t="s">
        <v>24</v>
      </c>
      <c r="K632" s="4">
        <v>3</v>
      </c>
      <c r="L632" s="5">
        <v>30</v>
      </c>
      <c r="M632" s="5">
        <f>K632 * L632</f>
        <v>90</v>
      </c>
      <c r="N632" s="5">
        <f>M632 * $Q$4</f>
        <v>1.3499999999999999</v>
      </c>
      <c r="O632" s="5">
        <f>M632* $Q$5</f>
        <v>1.8</v>
      </c>
    </row>
    <row r="633" spans="1:15">
      <c r="A633" s="2">
        <v>632</v>
      </c>
      <c r="B633" s="4">
        <f t="shared" si="27"/>
        <v>16</v>
      </c>
      <c r="C633" s="4">
        <f t="shared" si="28"/>
        <v>9</v>
      </c>
      <c r="D633" s="4">
        <f t="shared" si="29"/>
        <v>2023</v>
      </c>
      <c r="E633" s="3">
        <v>45185</v>
      </c>
      <c r="F633" s="4" t="s">
        <v>658</v>
      </c>
      <c r="G633" s="4" t="s">
        <v>19</v>
      </c>
      <c r="H633" s="4" t="str" cm="1">
        <f t="array" ref="H633">_xlfn.IFS(I633&lt;30, "Young Adult", I633&gt;=50, "Senior", I633&gt;=30, "Adult")</f>
        <v>Young Adult</v>
      </c>
      <c r="I633" s="4">
        <v>26</v>
      </c>
      <c r="J633" s="4" t="s">
        <v>24</v>
      </c>
      <c r="K633" s="4">
        <v>4</v>
      </c>
      <c r="L633" s="5">
        <v>25</v>
      </c>
      <c r="M633" s="5">
        <f>K633 * L633</f>
        <v>100</v>
      </c>
      <c r="N633" s="5">
        <f>M633 * $Q$4</f>
        <v>1.5</v>
      </c>
      <c r="O633" s="5">
        <f>M633* $Q$5</f>
        <v>2</v>
      </c>
    </row>
    <row r="634" spans="1:15">
      <c r="A634" s="2">
        <v>633</v>
      </c>
      <c r="B634" s="4">
        <f t="shared" si="27"/>
        <v>7</v>
      </c>
      <c r="C634" s="4">
        <f t="shared" si="28"/>
        <v>8</v>
      </c>
      <c r="D634" s="4">
        <f t="shared" si="29"/>
        <v>2023</v>
      </c>
      <c r="E634" s="3">
        <v>45145</v>
      </c>
      <c r="F634" s="4" t="s">
        <v>659</v>
      </c>
      <c r="G634" s="4" t="s">
        <v>16</v>
      </c>
      <c r="H634" s="4" t="str" cm="1">
        <f t="array" ref="H634">_xlfn.IFS(I634&lt;30, "Young Adult", I634&gt;=50, "Senior", I634&gt;=30, "Adult")</f>
        <v>Adult</v>
      </c>
      <c r="I634" s="4">
        <v>39</v>
      </c>
      <c r="J634" s="4" t="s">
        <v>17</v>
      </c>
      <c r="K634" s="4">
        <v>4</v>
      </c>
      <c r="L634" s="5">
        <v>30</v>
      </c>
      <c r="M634" s="5">
        <f>K634 * L634</f>
        <v>120</v>
      </c>
      <c r="N634" s="5">
        <f>M634 * $Q$4</f>
        <v>1.7999999999999998</v>
      </c>
      <c r="O634" s="5">
        <f>M634* $Q$5</f>
        <v>2.4</v>
      </c>
    </row>
    <row r="635" spans="1:15">
      <c r="A635" s="2">
        <v>634</v>
      </c>
      <c r="B635" s="4">
        <f t="shared" si="27"/>
        <v>8</v>
      </c>
      <c r="C635" s="4">
        <f t="shared" si="28"/>
        <v>10</v>
      </c>
      <c r="D635" s="4">
        <f t="shared" si="29"/>
        <v>2023</v>
      </c>
      <c r="E635" s="3">
        <v>45207</v>
      </c>
      <c r="F635" s="4" t="s">
        <v>660</v>
      </c>
      <c r="G635" s="4" t="s">
        <v>16</v>
      </c>
      <c r="H635" s="4" t="str" cm="1">
        <f t="array" ref="H635">_xlfn.IFS(I635&lt;30, "Young Adult", I635&gt;=50, "Senior", I635&gt;=30, "Adult")</f>
        <v>Senior</v>
      </c>
      <c r="I635" s="4">
        <v>60</v>
      </c>
      <c r="J635" s="4" t="s">
        <v>24</v>
      </c>
      <c r="K635" s="4">
        <v>4</v>
      </c>
      <c r="L635" s="5">
        <v>500</v>
      </c>
      <c r="M635" s="5">
        <f>K635 * L635</f>
        <v>2000</v>
      </c>
      <c r="N635" s="5">
        <f>M635 * $Q$4</f>
        <v>30</v>
      </c>
      <c r="O635" s="5">
        <f>M635* $Q$5</f>
        <v>40</v>
      </c>
    </row>
    <row r="636" spans="1:15">
      <c r="A636" s="2">
        <v>635</v>
      </c>
      <c r="B636" s="4">
        <f t="shared" si="27"/>
        <v>17</v>
      </c>
      <c r="C636" s="4">
        <f t="shared" si="28"/>
        <v>8</v>
      </c>
      <c r="D636" s="4">
        <f t="shared" si="29"/>
        <v>2023</v>
      </c>
      <c r="E636" s="3">
        <v>45155</v>
      </c>
      <c r="F636" s="4" t="s">
        <v>661</v>
      </c>
      <c r="G636" s="4" t="s">
        <v>19</v>
      </c>
      <c r="H636" s="4" t="str" cm="1">
        <f t="array" ref="H636">_xlfn.IFS(I636&lt;30, "Young Adult", I636&gt;=50, "Senior", I636&gt;=30, "Adult")</f>
        <v>Senior</v>
      </c>
      <c r="I636" s="4">
        <v>63</v>
      </c>
      <c r="J636" s="4" t="s">
        <v>24</v>
      </c>
      <c r="K636" s="4">
        <v>3</v>
      </c>
      <c r="L636" s="5">
        <v>300</v>
      </c>
      <c r="M636" s="5">
        <f>K636 * L636</f>
        <v>900</v>
      </c>
      <c r="N636" s="5">
        <f>M636 * $Q$4</f>
        <v>13.5</v>
      </c>
      <c r="O636" s="5">
        <f>M636* $Q$5</f>
        <v>18</v>
      </c>
    </row>
    <row r="637" spans="1:15">
      <c r="A637" s="2">
        <v>636</v>
      </c>
      <c r="B637" s="4">
        <f t="shared" si="27"/>
        <v>23</v>
      </c>
      <c r="C637" s="4">
        <f t="shared" si="28"/>
        <v>3</v>
      </c>
      <c r="D637" s="4">
        <f t="shared" si="29"/>
        <v>2023</v>
      </c>
      <c r="E637" s="3">
        <v>45008</v>
      </c>
      <c r="F637" s="4" t="s">
        <v>662</v>
      </c>
      <c r="G637" s="4" t="s">
        <v>19</v>
      </c>
      <c r="H637" s="4" t="str" cm="1">
        <f t="array" ref="H637">_xlfn.IFS(I637&lt;30, "Young Adult", I637&gt;=50, "Senior", I637&gt;=30, "Adult")</f>
        <v>Young Adult</v>
      </c>
      <c r="I637" s="4">
        <v>21</v>
      </c>
      <c r="J637" s="4" t="s">
        <v>17</v>
      </c>
      <c r="K637" s="4">
        <v>3</v>
      </c>
      <c r="L637" s="5">
        <v>500</v>
      </c>
      <c r="M637" s="5">
        <f>K637 * L637</f>
        <v>1500</v>
      </c>
      <c r="N637" s="5">
        <f>M637 * $Q$4</f>
        <v>22.5</v>
      </c>
      <c r="O637" s="5">
        <f>M637* $Q$5</f>
        <v>30</v>
      </c>
    </row>
    <row r="638" spans="1:15">
      <c r="A638" s="2">
        <v>637</v>
      </c>
      <c r="B638" s="4">
        <f t="shared" si="27"/>
        <v>1</v>
      </c>
      <c r="C638" s="4">
        <f t="shared" si="28"/>
        <v>9</v>
      </c>
      <c r="D638" s="4">
        <f t="shared" si="29"/>
        <v>2023</v>
      </c>
      <c r="E638" s="3">
        <v>45170</v>
      </c>
      <c r="F638" s="4" t="s">
        <v>663</v>
      </c>
      <c r="G638" s="4" t="s">
        <v>16</v>
      </c>
      <c r="H638" s="4" t="str" cm="1">
        <f t="array" ref="H638">_xlfn.IFS(I638&lt;30, "Young Adult", I638&gt;=50, "Senior", I638&gt;=30, "Adult")</f>
        <v>Adult</v>
      </c>
      <c r="I638" s="4">
        <v>43</v>
      </c>
      <c r="J638" s="4" t="s">
        <v>20</v>
      </c>
      <c r="K638" s="4">
        <v>2</v>
      </c>
      <c r="L638" s="5">
        <v>300</v>
      </c>
      <c r="M638" s="5">
        <f>K638 * L638</f>
        <v>600</v>
      </c>
      <c r="N638" s="5">
        <f>M638 * $Q$4</f>
        <v>9</v>
      </c>
      <c r="O638" s="5">
        <f>M638* $Q$5</f>
        <v>12</v>
      </c>
    </row>
    <row r="639" spans="1:15">
      <c r="A639" s="2">
        <v>638</v>
      </c>
      <c r="B639" s="4">
        <f t="shared" si="27"/>
        <v>19</v>
      </c>
      <c r="C639" s="4">
        <f t="shared" si="28"/>
        <v>8</v>
      </c>
      <c r="D639" s="4">
        <f t="shared" si="29"/>
        <v>2023</v>
      </c>
      <c r="E639" s="3">
        <v>45157</v>
      </c>
      <c r="F639" s="4" t="s">
        <v>664</v>
      </c>
      <c r="G639" s="4" t="s">
        <v>16</v>
      </c>
      <c r="H639" s="4" t="str" cm="1">
        <f t="array" ref="H639">_xlfn.IFS(I639&lt;30, "Young Adult", I639&gt;=50, "Senior", I639&gt;=30, "Adult")</f>
        <v>Adult</v>
      </c>
      <c r="I639" s="4">
        <v>46</v>
      </c>
      <c r="J639" s="4" t="s">
        <v>24</v>
      </c>
      <c r="K639" s="4">
        <v>1</v>
      </c>
      <c r="L639" s="5">
        <v>500</v>
      </c>
      <c r="M639" s="5">
        <f>K639 * L639</f>
        <v>500</v>
      </c>
      <c r="N639" s="5">
        <f>M639 * $Q$4</f>
        <v>7.5</v>
      </c>
      <c r="O639" s="5">
        <f>M639* $Q$5</f>
        <v>10</v>
      </c>
    </row>
    <row r="640" spans="1:15">
      <c r="A640" s="2">
        <v>639</v>
      </c>
      <c r="B640" s="4">
        <f t="shared" si="27"/>
        <v>13</v>
      </c>
      <c r="C640" s="4">
        <f t="shared" si="28"/>
        <v>5</v>
      </c>
      <c r="D640" s="4">
        <f t="shared" si="29"/>
        <v>2023</v>
      </c>
      <c r="E640" s="3">
        <v>45059</v>
      </c>
      <c r="F640" s="4" t="s">
        <v>665</v>
      </c>
      <c r="G640" s="4" t="s">
        <v>19</v>
      </c>
      <c r="H640" s="4" t="str" cm="1">
        <f t="array" ref="H640">_xlfn.IFS(I640&lt;30, "Young Adult", I640&gt;=50, "Senior", I640&gt;=30, "Adult")</f>
        <v>Senior</v>
      </c>
      <c r="I640" s="4">
        <v>62</v>
      </c>
      <c r="J640" s="4" t="s">
        <v>17</v>
      </c>
      <c r="K640" s="4">
        <v>4</v>
      </c>
      <c r="L640" s="5">
        <v>50</v>
      </c>
      <c r="M640" s="5">
        <f>K640 * L640</f>
        <v>200</v>
      </c>
      <c r="N640" s="5">
        <f>M640 * $Q$4</f>
        <v>3</v>
      </c>
      <c r="O640" s="5">
        <f>M640* $Q$5</f>
        <v>4</v>
      </c>
    </row>
    <row r="641" spans="1:15">
      <c r="A641" s="2">
        <v>640</v>
      </c>
      <c r="B641" s="4">
        <f t="shared" si="27"/>
        <v>7</v>
      </c>
      <c r="C641" s="4">
        <f t="shared" si="28"/>
        <v>5</v>
      </c>
      <c r="D641" s="4">
        <f t="shared" si="29"/>
        <v>2023</v>
      </c>
      <c r="E641" s="3">
        <v>45053</v>
      </c>
      <c r="F641" s="4" t="s">
        <v>666</v>
      </c>
      <c r="G641" s="4" t="s">
        <v>19</v>
      </c>
      <c r="H641" s="4" t="str" cm="1">
        <f t="array" ref="H641">_xlfn.IFS(I641&lt;30, "Young Adult", I641&gt;=50, "Senior", I641&gt;=30, "Adult")</f>
        <v>Senior</v>
      </c>
      <c r="I641" s="4">
        <v>51</v>
      </c>
      <c r="J641" s="4" t="s">
        <v>24</v>
      </c>
      <c r="K641" s="4">
        <v>4</v>
      </c>
      <c r="L641" s="5">
        <v>30</v>
      </c>
      <c r="M641" s="5">
        <f>K641 * L641</f>
        <v>120</v>
      </c>
      <c r="N641" s="5">
        <f>M641 * $Q$4</f>
        <v>1.7999999999999998</v>
      </c>
      <c r="O641" s="5">
        <f>M641* $Q$5</f>
        <v>2.4</v>
      </c>
    </row>
    <row r="642" spans="1:15">
      <c r="A642" s="2">
        <v>641</v>
      </c>
      <c r="B642" s="4">
        <f t="shared" si="27"/>
        <v>23</v>
      </c>
      <c r="C642" s="4">
        <f t="shared" si="28"/>
        <v>11</v>
      </c>
      <c r="D642" s="4">
        <f t="shared" si="29"/>
        <v>2023</v>
      </c>
      <c r="E642" s="3">
        <v>45253</v>
      </c>
      <c r="F642" s="4" t="s">
        <v>667</v>
      </c>
      <c r="G642" s="4" t="s">
        <v>19</v>
      </c>
      <c r="H642" s="4" t="str" cm="1">
        <f t="array" ref="H642">_xlfn.IFS(I642&lt;30, "Young Adult", I642&gt;=50, "Senior", I642&gt;=30, "Adult")</f>
        <v>Adult</v>
      </c>
      <c r="I642" s="4">
        <v>40</v>
      </c>
      <c r="J642" s="4" t="s">
        <v>24</v>
      </c>
      <c r="K642" s="4">
        <v>1</v>
      </c>
      <c r="L642" s="5">
        <v>300</v>
      </c>
      <c r="M642" s="5">
        <f>K642 * L642</f>
        <v>300</v>
      </c>
      <c r="N642" s="5">
        <f>M642 * $Q$4</f>
        <v>4.5</v>
      </c>
      <c r="O642" s="5">
        <f>M642* $Q$5</f>
        <v>6</v>
      </c>
    </row>
    <row r="643" spans="1:15">
      <c r="A643" s="2">
        <v>642</v>
      </c>
      <c r="B643" s="4">
        <f t="shared" ref="B643:B706" si="30">DAY(E643)</f>
        <v>22</v>
      </c>
      <c r="C643" s="4">
        <f t="shared" ref="C643:C706" si="31">MONTH(E643)</f>
        <v>5</v>
      </c>
      <c r="D643" s="4">
        <f t="shared" ref="D643:D706" si="32">YEAR(E643)</f>
        <v>2023</v>
      </c>
      <c r="E643" s="3">
        <v>45068</v>
      </c>
      <c r="F643" s="4" t="s">
        <v>668</v>
      </c>
      <c r="G643" s="4" t="s">
        <v>19</v>
      </c>
      <c r="H643" s="4" t="str" cm="1">
        <f t="array" ref="H643">_xlfn.IFS(I643&lt;30, "Young Adult", I643&gt;=50, "Senior", I643&gt;=30, "Adult")</f>
        <v>Senior</v>
      </c>
      <c r="I643" s="4">
        <v>54</v>
      </c>
      <c r="J643" s="4" t="s">
        <v>20</v>
      </c>
      <c r="K643" s="4">
        <v>4</v>
      </c>
      <c r="L643" s="5">
        <v>25</v>
      </c>
      <c r="M643" s="5">
        <f>K643 * L643</f>
        <v>100</v>
      </c>
      <c r="N643" s="5">
        <f>M643 * $Q$4</f>
        <v>1.5</v>
      </c>
      <c r="O643" s="5">
        <f>M643* $Q$5</f>
        <v>2</v>
      </c>
    </row>
    <row r="644" spans="1:15">
      <c r="A644" s="2">
        <v>643</v>
      </c>
      <c r="B644" s="4">
        <f t="shared" si="30"/>
        <v>24</v>
      </c>
      <c r="C644" s="4">
        <f t="shared" si="31"/>
        <v>9</v>
      </c>
      <c r="D644" s="4">
        <f t="shared" si="32"/>
        <v>2023</v>
      </c>
      <c r="E644" s="3">
        <v>45193</v>
      </c>
      <c r="F644" s="4" t="s">
        <v>669</v>
      </c>
      <c r="G644" s="4" t="s">
        <v>19</v>
      </c>
      <c r="H644" s="4" t="str" cm="1">
        <f t="array" ref="H644">_xlfn.IFS(I644&lt;30, "Young Adult", I644&gt;=50, "Senior", I644&gt;=30, "Adult")</f>
        <v>Young Adult</v>
      </c>
      <c r="I644" s="4">
        <v>28</v>
      </c>
      <c r="J644" s="4" t="s">
        <v>24</v>
      </c>
      <c r="K644" s="4">
        <v>3</v>
      </c>
      <c r="L644" s="5">
        <v>30</v>
      </c>
      <c r="M644" s="5">
        <f>K644 * L644</f>
        <v>90</v>
      </c>
      <c r="N644" s="5">
        <f>M644 * $Q$4</f>
        <v>1.3499999999999999</v>
      </c>
      <c r="O644" s="5">
        <f>M644* $Q$5</f>
        <v>1.8</v>
      </c>
    </row>
    <row r="645" spans="1:15">
      <c r="A645" s="2">
        <v>644</v>
      </c>
      <c r="B645" s="4">
        <f t="shared" si="30"/>
        <v>6</v>
      </c>
      <c r="C645" s="4">
        <f t="shared" si="31"/>
        <v>9</v>
      </c>
      <c r="D645" s="4">
        <f t="shared" si="32"/>
        <v>2023</v>
      </c>
      <c r="E645" s="3">
        <v>45175</v>
      </c>
      <c r="F645" s="4" t="s">
        <v>670</v>
      </c>
      <c r="G645" s="4" t="s">
        <v>16</v>
      </c>
      <c r="H645" s="4" t="str" cm="1">
        <f t="array" ref="H645">_xlfn.IFS(I645&lt;30, "Young Adult", I645&gt;=50, "Senior", I645&gt;=30, "Adult")</f>
        <v>Young Adult</v>
      </c>
      <c r="I645" s="4">
        <v>23</v>
      </c>
      <c r="J645" s="4" t="s">
        <v>17</v>
      </c>
      <c r="K645" s="4">
        <v>3</v>
      </c>
      <c r="L645" s="5">
        <v>25</v>
      </c>
      <c r="M645" s="5">
        <f>K645 * L645</f>
        <v>75</v>
      </c>
      <c r="N645" s="5">
        <f>M645 * $Q$4</f>
        <v>1.125</v>
      </c>
      <c r="O645" s="5">
        <f>M645* $Q$5</f>
        <v>1.5</v>
      </c>
    </row>
    <row r="646" spans="1:15">
      <c r="A646" s="2">
        <v>645</v>
      </c>
      <c r="B646" s="4">
        <f t="shared" si="30"/>
        <v>17</v>
      </c>
      <c r="C646" s="4">
        <f t="shared" si="31"/>
        <v>11</v>
      </c>
      <c r="D646" s="4">
        <f t="shared" si="32"/>
        <v>2023</v>
      </c>
      <c r="E646" s="3">
        <v>45247</v>
      </c>
      <c r="F646" s="4" t="s">
        <v>671</v>
      </c>
      <c r="G646" s="4" t="s">
        <v>19</v>
      </c>
      <c r="H646" s="4" t="str" cm="1">
        <f t="array" ref="H646">_xlfn.IFS(I646&lt;30, "Young Adult", I646&gt;=50, "Senior", I646&gt;=30, "Adult")</f>
        <v>Adult</v>
      </c>
      <c r="I646" s="4">
        <v>35</v>
      </c>
      <c r="J646" s="4" t="s">
        <v>24</v>
      </c>
      <c r="K646" s="4">
        <v>4</v>
      </c>
      <c r="L646" s="5">
        <v>30</v>
      </c>
      <c r="M646" s="5">
        <f>K646 * L646</f>
        <v>120</v>
      </c>
      <c r="N646" s="5">
        <f>M646 * $Q$4</f>
        <v>1.7999999999999998</v>
      </c>
      <c r="O646" s="5">
        <f>M646* $Q$5</f>
        <v>2.4</v>
      </c>
    </row>
    <row r="647" spans="1:15">
      <c r="A647" s="2">
        <v>646</v>
      </c>
      <c r="B647" s="4">
        <f t="shared" si="30"/>
        <v>3</v>
      </c>
      <c r="C647" s="4">
        <f t="shared" si="31"/>
        <v>5</v>
      </c>
      <c r="D647" s="4">
        <f t="shared" si="32"/>
        <v>2023</v>
      </c>
      <c r="E647" s="3">
        <v>45049</v>
      </c>
      <c r="F647" s="4" t="s">
        <v>672</v>
      </c>
      <c r="G647" s="4" t="s">
        <v>16</v>
      </c>
      <c r="H647" s="4" t="str" cm="1">
        <f t="array" ref="H647">_xlfn.IFS(I647&lt;30, "Young Adult", I647&gt;=50, "Senior", I647&gt;=30, "Adult")</f>
        <v>Adult</v>
      </c>
      <c r="I647" s="4">
        <v>38</v>
      </c>
      <c r="J647" s="4" t="s">
        <v>20</v>
      </c>
      <c r="K647" s="4">
        <v>3</v>
      </c>
      <c r="L647" s="5">
        <v>30</v>
      </c>
      <c r="M647" s="5">
        <f>K647 * L647</f>
        <v>90</v>
      </c>
      <c r="N647" s="5">
        <f>M647 * $Q$4</f>
        <v>1.3499999999999999</v>
      </c>
      <c r="O647" s="5">
        <f>M647* $Q$5</f>
        <v>1.8</v>
      </c>
    </row>
    <row r="648" spans="1:15">
      <c r="A648" s="2">
        <v>647</v>
      </c>
      <c r="B648" s="4">
        <f t="shared" si="30"/>
        <v>21</v>
      </c>
      <c r="C648" s="4">
        <f t="shared" si="31"/>
        <v>5</v>
      </c>
      <c r="D648" s="4">
        <f t="shared" si="32"/>
        <v>2023</v>
      </c>
      <c r="E648" s="3">
        <v>45067</v>
      </c>
      <c r="F648" s="4" t="s">
        <v>673</v>
      </c>
      <c r="G648" s="4" t="s">
        <v>16</v>
      </c>
      <c r="H648" s="4" t="str" cm="1">
        <f t="array" ref="H648">_xlfn.IFS(I648&lt;30, "Young Adult", I648&gt;=50, "Senior", I648&gt;=30, "Adult")</f>
        <v>Senior</v>
      </c>
      <c r="I648" s="4">
        <v>59</v>
      </c>
      <c r="J648" s="4" t="s">
        <v>20</v>
      </c>
      <c r="K648" s="4">
        <v>3</v>
      </c>
      <c r="L648" s="5">
        <v>500</v>
      </c>
      <c r="M648" s="5">
        <f>K648 * L648</f>
        <v>1500</v>
      </c>
      <c r="N648" s="5">
        <f>M648 * $Q$4</f>
        <v>22.5</v>
      </c>
      <c r="O648" s="5">
        <f>M648* $Q$5</f>
        <v>30</v>
      </c>
    </row>
    <row r="649" spans="1:15">
      <c r="A649" s="2">
        <v>648</v>
      </c>
      <c r="B649" s="4">
        <f t="shared" si="30"/>
        <v>14</v>
      </c>
      <c r="C649" s="4">
        <f t="shared" si="31"/>
        <v>8</v>
      </c>
      <c r="D649" s="4">
        <f t="shared" si="32"/>
        <v>2023</v>
      </c>
      <c r="E649" s="3">
        <v>45152</v>
      </c>
      <c r="F649" s="4" t="s">
        <v>674</v>
      </c>
      <c r="G649" s="4" t="s">
        <v>16</v>
      </c>
      <c r="H649" s="4" t="str" cm="1">
        <f t="array" ref="H649">_xlfn.IFS(I649&lt;30, "Young Adult", I649&gt;=50, "Senior", I649&gt;=30, "Adult")</f>
        <v>Senior</v>
      </c>
      <c r="I649" s="4">
        <v>53</v>
      </c>
      <c r="J649" s="4" t="s">
        <v>17</v>
      </c>
      <c r="K649" s="4">
        <v>4</v>
      </c>
      <c r="L649" s="5">
        <v>300</v>
      </c>
      <c r="M649" s="5">
        <f>K649 * L649</f>
        <v>1200</v>
      </c>
      <c r="N649" s="5">
        <f>M649 * $Q$4</f>
        <v>18</v>
      </c>
      <c r="O649" s="5">
        <f>M649* $Q$5</f>
        <v>24</v>
      </c>
    </row>
    <row r="650" spans="1:15">
      <c r="A650" s="2">
        <v>649</v>
      </c>
      <c r="B650" s="4">
        <f t="shared" si="30"/>
        <v>9</v>
      </c>
      <c r="C650" s="4">
        <f t="shared" si="31"/>
        <v>2</v>
      </c>
      <c r="D650" s="4">
        <f t="shared" si="32"/>
        <v>2023</v>
      </c>
      <c r="E650" s="3">
        <v>44966</v>
      </c>
      <c r="F650" s="4" t="s">
        <v>675</v>
      </c>
      <c r="G650" s="4" t="s">
        <v>19</v>
      </c>
      <c r="H650" s="4" t="str" cm="1">
        <f t="array" ref="H650">_xlfn.IFS(I650&lt;30, "Young Adult", I650&gt;=50, "Senior", I650&gt;=30, "Adult")</f>
        <v>Senior</v>
      </c>
      <c r="I650" s="4">
        <v>58</v>
      </c>
      <c r="J650" s="4" t="s">
        <v>20</v>
      </c>
      <c r="K650" s="4">
        <v>2</v>
      </c>
      <c r="L650" s="5">
        <v>300</v>
      </c>
      <c r="M650" s="5">
        <f>K650 * L650</f>
        <v>600</v>
      </c>
      <c r="N650" s="5">
        <f>M650 * $Q$4</f>
        <v>9</v>
      </c>
      <c r="O650" s="5">
        <f>M650* $Q$5</f>
        <v>12</v>
      </c>
    </row>
    <row r="651" spans="1:15">
      <c r="A651" s="2">
        <v>650</v>
      </c>
      <c r="B651" s="4">
        <f t="shared" si="30"/>
        <v>1</v>
      </c>
      <c r="C651" s="4">
        <f t="shared" si="31"/>
        <v>1</v>
      </c>
      <c r="D651" s="4">
        <f t="shared" si="32"/>
        <v>2024</v>
      </c>
      <c r="E651" s="3">
        <v>45292</v>
      </c>
      <c r="F651" s="4" t="s">
        <v>676</v>
      </c>
      <c r="G651" s="4" t="s">
        <v>16</v>
      </c>
      <c r="H651" s="4" t="str" cm="1">
        <f t="array" ref="H651">_xlfn.IFS(I651&lt;30, "Young Adult", I651&gt;=50, "Senior", I651&gt;=30, "Adult")</f>
        <v>Senior</v>
      </c>
      <c r="I651" s="4">
        <v>55</v>
      </c>
      <c r="J651" s="4" t="s">
        <v>24</v>
      </c>
      <c r="K651" s="4">
        <v>1</v>
      </c>
      <c r="L651" s="5">
        <v>30</v>
      </c>
      <c r="M651" s="5">
        <f>K651 * L651</f>
        <v>30</v>
      </c>
      <c r="N651" s="5">
        <f>M651 * $Q$4</f>
        <v>0.44999999999999996</v>
      </c>
      <c r="O651" s="5">
        <f>M651* $Q$5</f>
        <v>0.6</v>
      </c>
    </row>
    <row r="652" spans="1:15">
      <c r="A652" s="2">
        <v>651</v>
      </c>
      <c r="B652" s="4">
        <f t="shared" si="30"/>
        <v>27</v>
      </c>
      <c r="C652" s="4">
        <f t="shared" si="31"/>
        <v>5</v>
      </c>
      <c r="D652" s="4">
        <f t="shared" si="32"/>
        <v>2023</v>
      </c>
      <c r="E652" s="3">
        <v>45073</v>
      </c>
      <c r="F652" s="4" t="s">
        <v>677</v>
      </c>
      <c r="G652" s="4" t="s">
        <v>16</v>
      </c>
      <c r="H652" s="4" t="str" cm="1">
        <f t="array" ref="H652">_xlfn.IFS(I652&lt;30, "Young Adult", I652&gt;=50, "Senior", I652&gt;=30, "Adult")</f>
        <v>Senior</v>
      </c>
      <c r="I652" s="4">
        <v>51</v>
      </c>
      <c r="J652" s="4" t="s">
        <v>20</v>
      </c>
      <c r="K652" s="4">
        <v>3</v>
      </c>
      <c r="L652" s="5">
        <v>50</v>
      </c>
      <c r="M652" s="5">
        <f>K652 * L652</f>
        <v>150</v>
      </c>
      <c r="N652" s="5">
        <f>M652 * $Q$4</f>
        <v>2.25</v>
      </c>
      <c r="O652" s="5">
        <f>M652* $Q$5</f>
        <v>3</v>
      </c>
    </row>
    <row r="653" spans="1:15">
      <c r="A653" s="2">
        <v>652</v>
      </c>
      <c r="B653" s="4">
        <f t="shared" si="30"/>
        <v>1</v>
      </c>
      <c r="C653" s="4">
        <f t="shared" si="31"/>
        <v>5</v>
      </c>
      <c r="D653" s="4">
        <f t="shared" si="32"/>
        <v>2023</v>
      </c>
      <c r="E653" s="3">
        <v>45047</v>
      </c>
      <c r="F653" s="4" t="s">
        <v>678</v>
      </c>
      <c r="G653" s="4" t="s">
        <v>19</v>
      </c>
      <c r="H653" s="4" t="str" cm="1">
        <f t="array" ref="H653">_xlfn.IFS(I653&lt;30, "Young Adult", I653&gt;=50, "Senior", I653&gt;=30, "Adult")</f>
        <v>Adult</v>
      </c>
      <c r="I653" s="4">
        <v>34</v>
      </c>
      <c r="J653" s="4" t="s">
        <v>17</v>
      </c>
      <c r="K653" s="4">
        <v>2</v>
      </c>
      <c r="L653" s="5">
        <v>50</v>
      </c>
      <c r="M653" s="5">
        <f>K653 * L653</f>
        <v>100</v>
      </c>
      <c r="N653" s="5">
        <f>M653 * $Q$4</f>
        <v>1.5</v>
      </c>
      <c r="O653" s="5">
        <f>M653* $Q$5</f>
        <v>2</v>
      </c>
    </row>
    <row r="654" spans="1:15">
      <c r="A654" s="2">
        <v>653</v>
      </c>
      <c r="B654" s="4">
        <f t="shared" si="30"/>
        <v>20</v>
      </c>
      <c r="C654" s="4">
        <f t="shared" si="31"/>
        <v>5</v>
      </c>
      <c r="D654" s="4">
        <f t="shared" si="32"/>
        <v>2023</v>
      </c>
      <c r="E654" s="3">
        <v>45066</v>
      </c>
      <c r="F654" s="4" t="s">
        <v>679</v>
      </c>
      <c r="G654" s="4" t="s">
        <v>16</v>
      </c>
      <c r="H654" s="4" t="str" cm="1">
        <f t="array" ref="H654">_xlfn.IFS(I654&lt;30, "Young Adult", I654&gt;=50, "Senior", I654&gt;=30, "Adult")</f>
        <v>Senior</v>
      </c>
      <c r="I654" s="4">
        <v>54</v>
      </c>
      <c r="J654" s="4" t="s">
        <v>20</v>
      </c>
      <c r="K654" s="4">
        <v>3</v>
      </c>
      <c r="L654" s="5">
        <v>25</v>
      </c>
      <c r="M654" s="5">
        <f>K654 * L654</f>
        <v>75</v>
      </c>
      <c r="N654" s="5">
        <f>M654 * $Q$4</f>
        <v>1.125</v>
      </c>
      <c r="O654" s="5">
        <f>M654* $Q$5</f>
        <v>1.5</v>
      </c>
    </row>
    <row r="655" spans="1:15">
      <c r="A655" s="2">
        <v>654</v>
      </c>
      <c r="B655" s="4">
        <f t="shared" si="30"/>
        <v>21</v>
      </c>
      <c r="C655" s="4">
        <f t="shared" si="31"/>
        <v>6</v>
      </c>
      <c r="D655" s="4">
        <f t="shared" si="32"/>
        <v>2023</v>
      </c>
      <c r="E655" s="3">
        <v>45098</v>
      </c>
      <c r="F655" s="4" t="s">
        <v>680</v>
      </c>
      <c r="G655" s="4" t="s">
        <v>16</v>
      </c>
      <c r="H655" s="4" t="str" cm="1">
        <f t="array" ref="H655">_xlfn.IFS(I655&lt;30, "Young Adult", I655&gt;=50, "Senior", I655&gt;=30, "Adult")</f>
        <v>Adult</v>
      </c>
      <c r="I655" s="4">
        <v>42</v>
      </c>
      <c r="J655" s="4" t="s">
        <v>20</v>
      </c>
      <c r="K655" s="4">
        <v>3</v>
      </c>
      <c r="L655" s="5">
        <v>25</v>
      </c>
      <c r="M655" s="5">
        <f>K655 * L655</f>
        <v>75</v>
      </c>
      <c r="N655" s="5">
        <f>M655 * $Q$4</f>
        <v>1.125</v>
      </c>
      <c r="O655" s="5">
        <f>M655* $Q$5</f>
        <v>1.5</v>
      </c>
    </row>
    <row r="656" spans="1:15">
      <c r="A656" s="2">
        <v>655</v>
      </c>
      <c r="B656" s="4">
        <f t="shared" si="30"/>
        <v>13</v>
      </c>
      <c r="C656" s="4">
        <f t="shared" si="31"/>
        <v>6</v>
      </c>
      <c r="D656" s="4">
        <f t="shared" si="32"/>
        <v>2023</v>
      </c>
      <c r="E656" s="3">
        <v>45090</v>
      </c>
      <c r="F656" s="4" t="s">
        <v>681</v>
      </c>
      <c r="G656" s="4" t="s">
        <v>19</v>
      </c>
      <c r="H656" s="4" t="str" cm="1">
        <f t="array" ref="H656">_xlfn.IFS(I656&lt;30, "Young Adult", I656&gt;=50, "Senior", I656&gt;=30, "Adult")</f>
        <v>Senior</v>
      </c>
      <c r="I656" s="4">
        <v>55</v>
      </c>
      <c r="J656" s="4" t="s">
        <v>20</v>
      </c>
      <c r="K656" s="4">
        <v>1</v>
      </c>
      <c r="L656" s="5">
        <v>500</v>
      </c>
      <c r="M656" s="5">
        <f>K656 * L656</f>
        <v>500</v>
      </c>
      <c r="N656" s="5">
        <f>M656 * $Q$4</f>
        <v>7.5</v>
      </c>
      <c r="O656" s="5">
        <f>M656* $Q$5</f>
        <v>10</v>
      </c>
    </row>
    <row r="657" spans="1:15">
      <c r="A657" s="2">
        <v>656</v>
      </c>
      <c r="B657" s="4">
        <f t="shared" si="30"/>
        <v>4</v>
      </c>
      <c r="C657" s="4">
        <f t="shared" si="31"/>
        <v>10</v>
      </c>
      <c r="D657" s="4">
        <f t="shared" si="32"/>
        <v>2023</v>
      </c>
      <c r="E657" s="3">
        <v>45203</v>
      </c>
      <c r="F657" s="4" t="s">
        <v>682</v>
      </c>
      <c r="G657" s="4" t="s">
        <v>16</v>
      </c>
      <c r="H657" s="4" t="str" cm="1">
        <f t="array" ref="H657">_xlfn.IFS(I657&lt;30, "Young Adult", I657&gt;=50, "Senior", I657&gt;=30, "Adult")</f>
        <v>Young Adult</v>
      </c>
      <c r="I657" s="4">
        <v>29</v>
      </c>
      <c r="J657" s="4" t="s">
        <v>17</v>
      </c>
      <c r="K657" s="4">
        <v>3</v>
      </c>
      <c r="L657" s="5">
        <v>30</v>
      </c>
      <c r="M657" s="5">
        <f>K657 * L657</f>
        <v>90</v>
      </c>
      <c r="N657" s="5">
        <f>M657 * $Q$4</f>
        <v>1.3499999999999999</v>
      </c>
      <c r="O657" s="5">
        <f>M657* $Q$5</f>
        <v>1.8</v>
      </c>
    </row>
    <row r="658" spans="1:15">
      <c r="A658" s="2">
        <v>657</v>
      </c>
      <c r="B658" s="4">
        <f t="shared" si="30"/>
        <v>11</v>
      </c>
      <c r="C658" s="4">
        <f t="shared" si="31"/>
        <v>2</v>
      </c>
      <c r="D658" s="4">
        <f t="shared" si="32"/>
        <v>2023</v>
      </c>
      <c r="E658" s="3">
        <v>44968</v>
      </c>
      <c r="F658" s="4" t="s">
        <v>683</v>
      </c>
      <c r="G658" s="4" t="s">
        <v>16</v>
      </c>
      <c r="H658" s="4" t="str" cm="1">
        <f t="array" ref="H658">_xlfn.IFS(I658&lt;30, "Young Adult", I658&gt;=50, "Senior", I658&gt;=30, "Adult")</f>
        <v>Adult</v>
      </c>
      <c r="I658" s="4">
        <v>40</v>
      </c>
      <c r="J658" s="4" t="s">
        <v>20</v>
      </c>
      <c r="K658" s="4">
        <v>1</v>
      </c>
      <c r="L658" s="5">
        <v>25</v>
      </c>
      <c r="M658" s="5">
        <f>K658 * L658</f>
        <v>25</v>
      </c>
      <c r="N658" s="5">
        <f>M658 * $Q$4</f>
        <v>0.375</v>
      </c>
      <c r="O658" s="5">
        <f>M658* $Q$5</f>
        <v>0.5</v>
      </c>
    </row>
    <row r="659" spans="1:15">
      <c r="A659" s="2">
        <v>658</v>
      </c>
      <c r="B659" s="4">
        <f t="shared" si="30"/>
        <v>12</v>
      </c>
      <c r="C659" s="4">
        <f t="shared" si="31"/>
        <v>3</v>
      </c>
      <c r="D659" s="4">
        <f t="shared" si="32"/>
        <v>2023</v>
      </c>
      <c r="E659" s="3">
        <v>44997</v>
      </c>
      <c r="F659" s="4" t="s">
        <v>684</v>
      </c>
      <c r="G659" s="4" t="s">
        <v>16</v>
      </c>
      <c r="H659" s="4" t="str" cm="1">
        <f t="array" ref="H659">_xlfn.IFS(I659&lt;30, "Young Adult", I659&gt;=50, "Senior", I659&gt;=30, "Adult")</f>
        <v>Senior</v>
      </c>
      <c r="I659" s="4">
        <v>59</v>
      </c>
      <c r="J659" s="4" t="s">
        <v>20</v>
      </c>
      <c r="K659" s="4">
        <v>1</v>
      </c>
      <c r="L659" s="5">
        <v>25</v>
      </c>
      <c r="M659" s="5">
        <f>K659 * L659</f>
        <v>25</v>
      </c>
      <c r="N659" s="5">
        <f>M659 * $Q$4</f>
        <v>0.375</v>
      </c>
      <c r="O659" s="5">
        <f>M659* $Q$5</f>
        <v>0.5</v>
      </c>
    </row>
    <row r="660" spans="1:15">
      <c r="A660" s="2">
        <v>659</v>
      </c>
      <c r="B660" s="4">
        <f t="shared" si="30"/>
        <v>19</v>
      </c>
      <c r="C660" s="4">
        <f t="shared" si="31"/>
        <v>3</v>
      </c>
      <c r="D660" s="4">
        <f t="shared" si="32"/>
        <v>2023</v>
      </c>
      <c r="E660" s="3">
        <v>45004</v>
      </c>
      <c r="F660" s="4" t="s">
        <v>685</v>
      </c>
      <c r="G660" s="4" t="s">
        <v>19</v>
      </c>
      <c r="H660" s="4" t="str" cm="1">
        <f t="array" ref="H660">_xlfn.IFS(I660&lt;30, "Young Adult", I660&gt;=50, "Senior", I660&gt;=30, "Adult")</f>
        <v>Adult</v>
      </c>
      <c r="I660" s="4">
        <v>39</v>
      </c>
      <c r="J660" s="4" t="s">
        <v>24</v>
      </c>
      <c r="K660" s="4">
        <v>1</v>
      </c>
      <c r="L660" s="5">
        <v>30</v>
      </c>
      <c r="M660" s="5">
        <f>K660 * L660</f>
        <v>30</v>
      </c>
      <c r="N660" s="5">
        <f>M660 * $Q$4</f>
        <v>0.44999999999999996</v>
      </c>
      <c r="O660" s="5">
        <f>M660* $Q$5</f>
        <v>0.6</v>
      </c>
    </row>
    <row r="661" spans="1:15">
      <c r="A661" s="2">
        <v>660</v>
      </c>
      <c r="B661" s="4">
        <f t="shared" si="30"/>
        <v>29</v>
      </c>
      <c r="C661" s="4">
        <f t="shared" si="31"/>
        <v>4</v>
      </c>
      <c r="D661" s="4">
        <f t="shared" si="32"/>
        <v>2023</v>
      </c>
      <c r="E661" s="3">
        <v>45045</v>
      </c>
      <c r="F661" s="4" t="s">
        <v>686</v>
      </c>
      <c r="G661" s="4" t="s">
        <v>19</v>
      </c>
      <c r="H661" s="4" t="str" cm="1">
        <f t="array" ref="H661">_xlfn.IFS(I661&lt;30, "Young Adult", I661&gt;=50, "Senior", I661&gt;=30, "Adult")</f>
        <v>Adult</v>
      </c>
      <c r="I661" s="4">
        <v>38</v>
      </c>
      <c r="J661" s="4" t="s">
        <v>17</v>
      </c>
      <c r="K661" s="4">
        <v>2</v>
      </c>
      <c r="L661" s="5">
        <v>500</v>
      </c>
      <c r="M661" s="5">
        <f>K661 * L661</f>
        <v>1000</v>
      </c>
      <c r="N661" s="5">
        <f>M661 * $Q$4</f>
        <v>15</v>
      </c>
      <c r="O661" s="5">
        <f>M661* $Q$5</f>
        <v>20</v>
      </c>
    </row>
    <row r="662" spans="1:15">
      <c r="A662" s="2">
        <v>661</v>
      </c>
      <c r="B662" s="4">
        <f t="shared" si="30"/>
        <v>16</v>
      </c>
      <c r="C662" s="4">
        <f t="shared" si="31"/>
        <v>7</v>
      </c>
      <c r="D662" s="4">
        <f t="shared" si="32"/>
        <v>2023</v>
      </c>
      <c r="E662" s="3">
        <v>45123</v>
      </c>
      <c r="F662" s="4" t="s">
        <v>687</v>
      </c>
      <c r="G662" s="4" t="s">
        <v>19</v>
      </c>
      <c r="H662" s="4" t="str" cm="1">
        <f t="array" ref="H662">_xlfn.IFS(I662&lt;30, "Young Adult", I662&gt;=50, "Senior", I662&gt;=30, "Adult")</f>
        <v>Adult</v>
      </c>
      <c r="I662" s="4">
        <v>44</v>
      </c>
      <c r="J662" s="4" t="s">
        <v>20</v>
      </c>
      <c r="K662" s="4">
        <v>4</v>
      </c>
      <c r="L662" s="5">
        <v>25</v>
      </c>
      <c r="M662" s="5">
        <f>K662 * L662</f>
        <v>100</v>
      </c>
      <c r="N662" s="5">
        <f>M662 * $Q$4</f>
        <v>1.5</v>
      </c>
      <c r="O662" s="5">
        <f>M662* $Q$5</f>
        <v>2</v>
      </c>
    </row>
    <row r="663" spans="1:15">
      <c r="A663" s="2">
        <v>662</v>
      </c>
      <c r="B663" s="4">
        <f t="shared" si="30"/>
        <v>22</v>
      </c>
      <c r="C663" s="4">
        <f t="shared" si="31"/>
        <v>12</v>
      </c>
      <c r="D663" s="4">
        <f t="shared" si="32"/>
        <v>2023</v>
      </c>
      <c r="E663" s="3">
        <v>45282</v>
      </c>
      <c r="F663" s="4" t="s">
        <v>688</v>
      </c>
      <c r="G663" s="4" t="s">
        <v>16</v>
      </c>
      <c r="H663" s="4" t="str" cm="1">
        <f t="array" ref="H663">_xlfn.IFS(I663&lt;30, "Young Adult", I663&gt;=50, "Senior", I663&gt;=30, "Adult")</f>
        <v>Adult</v>
      </c>
      <c r="I663" s="4">
        <v>48</v>
      </c>
      <c r="J663" s="4" t="s">
        <v>17</v>
      </c>
      <c r="K663" s="4">
        <v>2</v>
      </c>
      <c r="L663" s="5">
        <v>500</v>
      </c>
      <c r="M663" s="5">
        <f>K663 * L663</f>
        <v>1000</v>
      </c>
      <c r="N663" s="5">
        <f>M663 * $Q$4</f>
        <v>15</v>
      </c>
      <c r="O663" s="5">
        <f>M663* $Q$5</f>
        <v>20</v>
      </c>
    </row>
    <row r="664" spans="1:15">
      <c r="A664" s="2">
        <v>663</v>
      </c>
      <c r="B664" s="4">
        <f t="shared" si="30"/>
        <v>20</v>
      </c>
      <c r="C664" s="4">
        <f t="shared" si="31"/>
        <v>3</v>
      </c>
      <c r="D664" s="4">
        <f t="shared" si="32"/>
        <v>2023</v>
      </c>
      <c r="E664" s="3">
        <v>45005</v>
      </c>
      <c r="F664" s="4" t="s">
        <v>689</v>
      </c>
      <c r="G664" s="4" t="s">
        <v>16</v>
      </c>
      <c r="H664" s="4" t="str" cm="1">
        <f t="array" ref="H664">_xlfn.IFS(I664&lt;30, "Young Adult", I664&gt;=50, "Senior", I664&gt;=30, "Adult")</f>
        <v>Young Adult</v>
      </c>
      <c r="I664" s="4">
        <v>23</v>
      </c>
      <c r="J664" s="4" t="s">
        <v>20</v>
      </c>
      <c r="K664" s="4">
        <v>4</v>
      </c>
      <c r="L664" s="5">
        <v>300</v>
      </c>
      <c r="M664" s="5">
        <f>K664 * L664</f>
        <v>1200</v>
      </c>
      <c r="N664" s="5">
        <f>M664 * $Q$4</f>
        <v>18</v>
      </c>
      <c r="O664" s="5">
        <f>M664* $Q$5</f>
        <v>24</v>
      </c>
    </row>
    <row r="665" spans="1:15">
      <c r="A665" s="2">
        <v>664</v>
      </c>
      <c r="B665" s="4">
        <f t="shared" si="30"/>
        <v>28</v>
      </c>
      <c r="C665" s="4">
        <f t="shared" si="31"/>
        <v>12</v>
      </c>
      <c r="D665" s="4">
        <f t="shared" si="32"/>
        <v>2023</v>
      </c>
      <c r="E665" s="3">
        <v>45288</v>
      </c>
      <c r="F665" s="4" t="s">
        <v>690</v>
      </c>
      <c r="G665" s="4" t="s">
        <v>19</v>
      </c>
      <c r="H665" s="4" t="str" cm="1">
        <f t="array" ref="H665">_xlfn.IFS(I665&lt;30, "Young Adult", I665&gt;=50, "Senior", I665&gt;=30, "Adult")</f>
        <v>Adult</v>
      </c>
      <c r="I665" s="4">
        <v>44</v>
      </c>
      <c r="J665" s="4" t="s">
        <v>20</v>
      </c>
      <c r="K665" s="4">
        <v>4</v>
      </c>
      <c r="L665" s="5">
        <v>500</v>
      </c>
      <c r="M665" s="5">
        <f>K665 * L665</f>
        <v>2000</v>
      </c>
      <c r="N665" s="5">
        <f>M665 * $Q$4</f>
        <v>30</v>
      </c>
      <c r="O665" s="5">
        <f>M665* $Q$5</f>
        <v>40</v>
      </c>
    </row>
    <row r="666" spans="1:15">
      <c r="A666" s="2">
        <v>665</v>
      </c>
      <c r="B666" s="4">
        <f t="shared" si="30"/>
        <v>20</v>
      </c>
      <c r="C666" s="4">
        <f t="shared" si="31"/>
        <v>4</v>
      </c>
      <c r="D666" s="4">
        <f t="shared" si="32"/>
        <v>2023</v>
      </c>
      <c r="E666" s="3">
        <v>45036</v>
      </c>
      <c r="F666" s="4" t="s">
        <v>691</v>
      </c>
      <c r="G666" s="4" t="s">
        <v>16</v>
      </c>
      <c r="H666" s="4" t="str" cm="1">
        <f t="array" ref="H666">_xlfn.IFS(I666&lt;30, "Young Adult", I666&gt;=50, "Senior", I666&gt;=30, "Adult")</f>
        <v>Senior</v>
      </c>
      <c r="I666" s="4">
        <v>57</v>
      </c>
      <c r="J666" s="4" t="s">
        <v>20</v>
      </c>
      <c r="K666" s="4">
        <v>1</v>
      </c>
      <c r="L666" s="5">
        <v>50</v>
      </c>
      <c r="M666" s="5">
        <f>K666 * L666</f>
        <v>50</v>
      </c>
      <c r="N666" s="5">
        <f>M666 * $Q$4</f>
        <v>0.75</v>
      </c>
      <c r="O666" s="5">
        <f>M666* $Q$5</f>
        <v>1</v>
      </c>
    </row>
    <row r="667" spans="1:15">
      <c r="A667" s="2">
        <v>666</v>
      </c>
      <c r="B667" s="4">
        <f t="shared" si="30"/>
        <v>2</v>
      </c>
      <c r="C667" s="4">
        <f t="shared" si="31"/>
        <v>2</v>
      </c>
      <c r="D667" s="4">
        <f t="shared" si="32"/>
        <v>2023</v>
      </c>
      <c r="E667" s="3">
        <v>44959</v>
      </c>
      <c r="F667" s="4" t="s">
        <v>692</v>
      </c>
      <c r="G667" s="4" t="s">
        <v>16</v>
      </c>
      <c r="H667" s="4" t="str" cm="1">
        <f t="array" ref="H667">_xlfn.IFS(I667&lt;30, "Young Adult", I667&gt;=50, "Senior", I667&gt;=30, "Adult")</f>
        <v>Senior</v>
      </c>
      <c r="I667" s="4">
        <v>51</v>
      </c>
      <c r="J667" s="4" t="s">
        <v>24</v>
      </c>
      <c r="K667" s="4">
        <v>3</v>
      </c>
      <c r="L667" s="5">
        <v>50</v>
      </c>
      <c r="M667" s="5">
        <f>K667 * L667</f>
        <v>150</v>
      </c>
      <c r="N667" s="5">
        <f>M667 * $Q$4</f>
        <v>2.25</v>
      </c>
      <c r="O667" s="5">
        <f>M667* $Q$5</f>
        <v>3</v>
      </c>
    </row>
    <row r="668" spans="1:15">
      <c r="A668" s="2">
        <v>667</v>
      </c>
      <c r="B668" s="4">
        <f t="shared" si="30"/>
        <v>1</v>
      </c>
      <c r="C668" s="4">
        <f t="shared" si="31"/>
        <v>8</v>
      </c>
      <c r="D668" s="4">
        <f t="shared" si="32"/>
        <v>2023</v>
      </c>
      <c r="E668" s="3">
        <v>45139</v>
      </c>
      <c r="F668" s="4" t="s">
        <v>693</v>
      </c>
      <c r="G668" s="4" t="s">
        <v>19</v>
      </c>
      <c r="H668" s="4" t="str" cm="1">
        <f t="array" ref="H668">_xlfn.IFS(I668&lt;30, "Young Adult", I668&gt;=50, "Senior", I668&gt;=30, "Adult")</f>
        <v>Young Adult</v>
      </c>
      <c r="I668" s="4">
        <v>29</v>
      </c>
      <c r="J668" s="4" t="s">
        <v>24</v>
      </c>
      <c r="K668" s="4">
        <v>1</v>
      </c>
      <c r="L668" s="5">
        <v>500</v>
      </c>
      <c r="M668" s="5">
        <f>K668 * L668</f>
        <v>500</v>
      </c>
      <c r="N668" s="5">
        <f>M668 * $Q$4</f>
        <v>7.5</v>
      </c>
      <c r="O668" s="5">
        <f>M668* $Q$5</f>
        <v>10</v>
      </c>
    </row>
    <row r="669" spans="1:15">
      <c r="A669" s="2">
        <v>668</v>
      </c>
      <c r="B669" s="4">
        <f t="shared" si="30"/>
        <v>28</v>
      </c>
      <c r="C669" s="4">
        <f t="shared" si="31"/>
        <v>7</v>
      </c>
      <c r="D669" s="4">
        <f t="shared" si="32"/>
        <v>2023</v>
      </c>
      <c r="E669" s="3">
        <v>45135</v>
      </c>
      <c r="F669" s="4" t="s">
        <v>694</v>
      </c>
      <c r="G669" s="4" t="s">
        <v>19</v>
      </c>
      <c r="H669" s="4" t="str" cm="1">
        <f t="array" ref="H669">_xlfn.IFS(I669&lt;30, "Young Adult", I669&gt;=50, "Senior", I669&gt;=30, "Adult")</f>
        <v>Senior</v>
      </c>
      <c r="I669" s="4">
        <v>62</v>
      </c>
      <c r="J669" s="4" t="s">
        <v>24</v>
      </c>
      <c r="K669" s="4">
        <v>3</v>
      </c>
      <c r="L669" s="5">
        <v>50</v>
      </c>
      <c r="M669" s="5">
        <f>K669 * L669</f>
        <v>150</v>
      </c>
      <c r="N669" s="5">
        <f>M669 * $Q$4</f>
        <v>2.25</v>
      </c>
      <c r="O669" s="5">
        <f>M669* $Q$5</f>
        <v>3</v>
      </c>
    </row>
    <row r="670" spans="1:15">
      <c r="A670" s="2">
        <v>669</v>
      </c>
      <c r="B670" s="4">
        <f t="shared" si="30"/>
        <v>19</v>
      </c>
      <c r="C670" s="4">
        <f t="shared" si="31"/>
        <v>6</v>
      </c>
      <c r="D670" s="4">
        <f t="shared" si="32"/>
        <v>2023</v>
      </c>
      <c r="E670" s="3">
        <v>45096</v>
      </c>
      <c r="F670" s="4" t="s">
        <v>695</v>
      </c>
      <c r="G670" s="4" t="s">
        <v>16</v>
      </c>
      <c r="H670" s="4" t="str" cm="1">
        <f t="array" ref="H670">_xlfn.IFS(I670&lt;30, "Young Adult", I670&gt;=50, "Senior", I670&gt;=30, "Adult")</f>
        <v>Young Adult</v>
      </c>
      <c r="I670" s="4">
        <v>24</v>
      </c>
      <c r="J670" s="4" t="s">
        <v>17</v>
      </c>
      <c r="K670" s="4">
        <v>4</v>
      </c>
      <c r="L670" s="5">
        <v>300</v>
      </c>
      <c r="M670" s="5">
        <f>K670 * L670</f>
        <v>1200</v>
      </c>
      <c r="N670" s="5">
        <f>M670 * $Q$4</f>
        <v>18</v>
      </c>
      <c r="O670" s="5">
        <f>M670* $Q$5</f>
        <v>24</v>
      </c>
    </row>
    <row r="671" spans="1:15">
      <c r="A671" s="2">
        <v>670</v>
      </c>
      <c r="B671" s="4">
        <f t="shared" si="30"/>
        <v>5</v>
      </c>
      <c r="C671" s="4">
        <f t="shared" si="31"/>
        <v>10</v>
      </c>
      <c r="D671" s="4">
        <f t="shared" si="32"/>
        <v>2023</v>
      </c>
      <c r="E671" s="3">
        <v>45204</v>
      </c>
      <c r="F671" s="4" t="s">
        <v>696</v>
      </c>
      <c r="G671" s="4" t="s">
        <v>16</v>
      </c>
      <c r="H671" s="4" t="str" cm="1">
        <f t="array" ref="H671">_xlfn.IFS(I671&lt;30, "Young Adult", I671&gt;=50, "Senior", I671&gt;=30, "Adult")</f>
        <v>Young Adult</v>
      </c>
      <c r="I671" s="4">
        <v>27</v>
      </c>
      <c r="J671" s="4" t="s">
        <v>17</v>
      </c>
      <c r="K671" s="4">
        <v>1</v>
      </c>
      <c r="L671" s="5">
        <v>30</v>
      </c>
      <c r="M671" s="5">
        <f>K671 * L671</f>
        <v>30</v>
      </c>
      <c r="N671" s="5">
        <f>M671 * $Q$4</f>
        <v>0.44999999999999996</v>
      </c>
      <c r="O671" s="5">
        <f>M671* $Q$5</f>
        <v>0.6</v>
      </c>
    </row>
    <row r="672" spans="1:15">
      <c r="A672" s="2">
        <v>671</v>
      </c>
      <c r="B672" s="4">
        <f t="shared" si="30"/>
        <v>27</v>
      </c>
      <c r="C672" s="4">
        <f t="shared" si="31"/>
        <v>8</v>
      </c>
      <c r="D672" s="4">
        <f t="shared" si="32"/>
        <v>2023</v>
      </c>
      <c r="E672" s="3">
        <v>45165</v>
      </c>
      <c r="F672" s="4" t="s">
        <v>697</v>
      </c>
      <c r="G672" s="4" t="s">
        <v>16</v>
      </c>
      <c r="H672" s="4" t="str" cm="1">
        <f t="array" ref="H672">_xlfn.IFS(I672&lt;30, "Young Adult", I672&gt;=50, "Senior", I672&gt;=30, "Adult")</f>
        <v>Senior</v>
      </c>
      <c r="I672" s="4">
        <v>62</v>
      </c>
      <c r="J672" s="4" t="s">
        <v>24</v>
      </c>
      <c r="K672" s="4">
        <v>3</v>
      </c>
      <c r="L672" s="5">
        <v>50</v>
      </c>
      <c r="M672" s="5">
        <f>K672 * L672</f>
        <v>150</v>
      </c>
      <c r="N672" s="5">
        <f>M672 * $Q$4</f>
        <v>2.25</v>
      </c>
      <c r="O672" s="5">
        <f>M672* $Q$5</f>
        <v>3</v>
      </c>
    </row>
    <row r="673" spans="1:15">
      <c r="A673" s="2">
        <v>672</v>
      </c>
      <c r="B673" s="4">
        <f t="shared" si="30"/>
        <v>1</v>
      </c>
      <c r="C673" s="4">
        <f t="shared" si="31"/>
        <v>8</v>
      </c>
      <c r="D673" s="4">
        <f t="shared" si="32"/>
        <v>2023</v>
      </c>
      <c r="E673" s="3">
        <v>45139</v>
      </c>
      <c r="F673" s="4" t="s">
        <v>698</v>
      </c>
      <c r="G673" s="4" t="s">
        <v>19</v>
      </c>
      <c r="H673" s="4" t="str" cm="1">
        <f t="array" ref="H673">_xlfn.IFS(I673&lt;30, "Young Adult", I673&gt;=50, "Senior", I673&gt;=30, "Adult")</f>
        <v>Adult</v>
      </c>
      <c r="I673" s="4">
        <v>34</v>
      </c>
      <c r="J673" s="4" t="s">
        <v>17</v>
      </c>
      <c r="K673" s="4">
        <v>2</v>
      </c>
      <c r="L673" s="5">
        <v>50</v>
      </c>
      <c r="M673" s="5">
        <f>K673 * L673</f>
        <v>100</v>
      </c>
      <c r="N673" s="5">
        <f>M673 * $Q$4</f>
        <v>1.5</v>
      </c>
      <c r="O673" s="5">
        <f>M673* $Q$5</f>
        <v>2</v>
      </c>
    </row>
    <row r="674" spans="1:15">
      <c r="A674" s="2">
        <v>673</v>
      </c>
      <c r="B674" s="4">
        <f t="shared" si="30"/>
        <v>1</v>
      </c>
      <c r="C674" s="4">
        <f t="shared" si="31"/>
        <v>2</v>
      </c>
      <c r="D674" s="4">
        <f t="shared" si="32"/>
        <v>2023</v>
      </c>
      <c r="E674" s="3">
        <v>44958</v>
      </c>
      <c r="F674" s="4" t="s">
        <v>699</v>
      </c>
      <c r="G674" s="4" t="s">
        <v>19</v>
      </c>
      <c r="H674" s="4" t="str" cm="1">
        <f t="array" ref="H674">_xlfn.IFS(I674&lt;30, "Young Adult", I674&gt;=50, "Senior", I674&gt;=30, "Adult")</f>
        <v>Adult</v>
      </c>
      <c r="I674" s="4">
        <v>43</v>
      </c>
      <c r="J674" s="4" t="s">
        <v>20</v>
      </c>
      <c r="K674" s="4">
        <v>3</v>
      </c>
      <c r="L674" s="5">
        <v>500</v>
      </c>
      <c r="M674" s="5">
        <f>K674 * L674</f>
        <v>1500</v>
      </c>
      <c r="N674" s="5">
        <f>M674 * $Q$4</f>
        <v>22.5</v>
      </c>
      <c r="O674" s="5">
        <f>M674* $Q$5</f>
        <v>30</v>
      </c>
    </row>
    <row r="675" spans="1:15">
      <c r="A675" s="2">
        <v>674</v>
      </c>
      <c r="B675" s="4">
        <f t="shared" si="30"/>
        <v>16</v>
      </c>
      <c r="C675" s="4">
        <f t="shared" si="31"/>
        <v>4</v>
      </c>
      <c r="D675" s="4">
        <f t="shared" si="32"/>
        <v>2023</v>
      </c>
      <c r="E675" s="3">
        <v>45032</v>
      </c>
      <c r="F675" s="4" t="s">
        <v>700</v>
      </c>
      <c r="G675" s="4" t="s">
        <v>19</v>
      </c>
      <c r="H675" s="4" t="str" cm="1">
        <f t="array" ref="H675">_xlfn.IFS(I675&lt;30, "Young Adult", I675&gt;=50, "Senior", I675&gt;=30, "Adult")</f>
        <v>Adult</v>
      </c>
      <c r="I675" s="4">
        <v>38</v>
      </c>
      <c r="J675" s="4" t="s">
        <v>20</v>
      </c>
      <c r="K675" s="4">
        <v>1</v>
      </c>
      <c r="L675" s="5">
        <v>300</v>
      </c>
      <c r="M675" s="5">
        <f>K675 * L675</f>
        <v>300</v>
      </c>
      <c r="N675" s="5">
        <f>M675 * $Q$4</f>
        <v>4.5</v>
      </c>
      <c r="O675" s="5">
        <f>M675* $Q$5</f>
        <v>6</v>
      </c>
    </row>
    <row r="676" spans="1:15">
      <c r="A676" s="2">
        <v>675</v>
      </c>
      <c r="B676" s="4">
        <f t="shared" si="30"/>
        <v>4</v>
      </c>
      <c r="C676" s="4">
        <f t="shared" si="31"/>
        <v>8</v>
      </c>
      <c r="D676" s="4">
        <f t="shared" si="32"/>
        <v>2023</v>
      </c>
      <c r="E676" s="3">
        <v>45142</v>
      </c>
      <c r="F676" s="4" t="s">
        <v>701</v>
      </c>
      <c r="G676" s="4" t="s">
        <v>19</v>
      </c>
      <c r="H676" s="4" t="str" cm="1">
        <f t="array" ref="H676">_xlfn.IFS(I676&lt;30, "Young Adult", I676&gt;=50, "Senior", I676&gt;=30, "Adult")</f>
        <v>Adult</v>
      </c>
      <c r="I676" s="4">
        <v>45</v>
      </c>
      <c r="J676" s="4" t="s">
        <v>20</v>
      </c>
      <c r="K676" s="4">
        <v>2</v>
      </c>
      <c r="L676" s="5">
        <v>30</v>
      </c>
      <c r="M676" s="5">
        <f>K676 * L676</f>
        <v>60</v>
      </c>
      <c r="N676" s="5">
        <f>M676 * $Q$4</f>
        <v>0.89999999999999991</v>
      </c>
      <c r="O676" s="5">
        <f>M676* $Q$5</f>
        <v>1.2</v>
      </c>
    </row>
    <row r="677" spans="1:15">
      <c r="A677" s="2">
        <v>676</v>
      </c>
      <c r="B677" s="4">
        <f t="shared" si="30"/>
        <v>19</v>
      </c>
      <c r="C677" s="4">
        <f t="shared" si="31"/>
        <v>7</v>
      </c>
      <c r="D677" s="4">
        <f t="shared" si="32"/>
        <v>2023</v>
      </c>
      <c r="E677" s="3">
        <v>45126</v>
      </c>
      <c r="F677" s="4" t="s">
        <v>702</v>
      </c>
      <c r="G677" s="4" t="s">
        <v>16</v>
      </c>
      <c r="H677" s="4" t="str" cm="1">
        <f t="array" ref="H677">_xlfn.IFS(I677&lt;30, "Young Adult", I677&gt;=50, "Senior", I677&gt;=30, "Adult")</f>
        <v>Senior</v>
      </c>
      <c r="I677" s="4">
        <v>63</v>
      </c>
      <c r="J677" s="4" t="s">
        <v>24</v>
      </c>
      <c r="K677" s="4">
        <v>3</v>
      </c>
      <c r="L677" s="5">
        <v>500</v>
      </c>
      <c r="M677" s="5">
        <f>K677 * L677</f>
        <v>1500</v>
      </c>
      <c r="N677" s="5">
        <f>M677 * $Q$4</f>
        <v>22.5</v>
      </c>
      <c r="O677" s="5">
        <f>M677* $Q$5</f>
        <v>30</v>
      </c>
    </row>
    <row r="678" spans="1:15">
      <c r="A678" s="2">
        <v>677</v>
      </c>
      <c r="B678" s="4">
        <f t="shared" si="30"/>
        <v>27</v>
      </c>
      <c r="C678" s="4">
        <f t="shared" si="31"/>
        <v>10</v>
      </c>
      <c r="D678" s="4">
        <f t="shared" si="32"/>
        <v>2023</v>
      </c>
      <c r="E678" s="3">
        <v>45226</v>
      </c>
      <c r="F678" s="4" t="s">
        <v>703</v>
      </c>
      <c r="G678" s="4" t="s">
        <v>19</v>
      </c>
      <c r="H678" s="4" t="str" cm="1">
        <f t="array" ref="H678">_xlfn.IFS(I678&lt;30, "Young Adult", I678&gt;=50, "Senior", I678&gt;=30, "Adult")</f>
        <v>Young Adult</v>
      </c>
      <c r="I678" s="4">
        <v>19</v>
      </c>
      <c r="J678" s="4" t="s">
        <v>17</v>
      </c>
      <c r="K678" s="4">
        <v>3</v>
      </c>
      <c r="L678" s="5">
        <v>500</v>
      </c>
      <c r="M678" s="5">
        <f>K678 * L678</f>
        <v>1500</v>
      </c>
      <c r="N678" s="5">
        <f>M678 * $Q$4</f>
        <v>22.5</v>
      </c>
      <c r="O678" s="5">
        <f>M678* $Q$5</f>
        <v>30</v>
      </c>
    </row>
    <row r="679" spans="1:15">
      <c r="A679" s="2">
        <v>678</v>
      </c>
      <c r="B679" s="4">
        <f t="shared" si="30"/>
        <v>23</v>
      </c>
      <c r="C679" s="4">
        <f t="shared" si="31"/>
        <v>12</v>
      </c>
      <c r="D679" s="4">
        <f t="shared" si="32"/>
        <v>2023</v>
      </c>
      <c r="E679" s="3">
        <v>45283</v>
      </c>
      <c r="F679" s="4" t="s">
        <v>704</v>
      </c>
      <c r="G679" s="4" t="s">
        <v>19</v>
      </c>
      <c r="H679" s="4" t="str" cm="1">
        <f t="array" ref="H679">_xlfn.IFS(I679&lt;30, "Young Adult", I679&gt;=50, "Senior", I679&gt;=30, "Adult")</f>
        <v>Senior</v>
      </c>
      <c r="I679" s="4">
        <v>60</v>
      </c>
      <c r="J679" s="4" t="s">
        <v>24</v>
      </c>
      <c r="K679" s="4">
        <v>3</v>
      </c>
      <c r="L679" s="5">
        <v>300</v>
      </c>
      <c r="M679" s="5">
        <f>K679 * L679</f>
        <v>900</v>
      </c>
      <c r="N679" s="5">
        <f>M679 * $Q$4</f>
        <v>13.5</v>
      </c>
      <c r="O679" s="5">
        <f>M679* $Q$5</f>
        <v>18</v>
      </c>
    </row>
    <row r="680" spans="1:15">
      <c r="A680" s="2">
        <v>679</v>
      </c>
      <c r="B680" s="4">
        <f t="shared" si="30"/>
        <v>11</v>
      </c>
      <c r="C680" s="4">
        <f t="shared" si="31"/>
        <v>1</v>
      </c>
      <c r="D680" s="4">
        <f t="shared" si="32"/>
        <v>2023</v>
      </c>
      <c r="E680" s="3">
        <v>44937</v>
      </c>
      <c r="F680" s="4" t="s">
        <v>705</v>
      </c>
      <c r="G680" s="4" t="s">
        <v>19</v>
      </c>
      <c r="H680" s="4" t="str" cm="1">
        <f t="array" ref="H680">_xlfn.IFS(I680&lt;30, "Young Adult", I680&gt;=50, "Senior", I680&gt;=30, "Adult")</f>
        <v>Young Adult</v>
      </c>
      <c r="I680" s="4">
        <v>18</v>
      </c>
      <c r="J680" s="4" t="s">
        <v>17</v>
      </c>
      <c r="K680" s="4">
        <v>3</v>
      </c>
      <c r="L680" s="5">
        <v>30</v>
      </c>
      <c r="M680" s="5">
        <f>K680 * L680</f>
        <v>90</v>
      </c>
      <c r="N680" s="5">
        <f>M680 * $Q$4</f>
        <v>1.3499999999999999</v>
      </c>
      <c r="O680" s="5">
        <f>M680* $Q$5</f>
        <v>1.8</v>
      </c>
    </row>
    <row r="681" spans="1:15">
      <c r="A681" s="2">
        <v>680</v>
      </c>
      <c r="B681" s="4">
        <f t="shared" si="30"/>
        <v>22</v>
      </c>
      <c r="C681" s="4">
        <f t="shared" si="31"/>
        <v>10</v>
      </c>
      <c r="D681" s="4">
        <f t="shared" si="32"/>
        <v>2023</v>
      </c>
      <c r="E681" s="3">
        <v>45221</v>
      </c>
      <c r="F681" s="4" t="s">
        <v>706</v>
      </c>
      <c r="G681" s="4" t="s">
        <v>19</v>
      </c>
      <c r="H681" s="4" t="str" cm="1">
        <f t="array" ref="H681">_xlfn.IFS(I681&lt;30, "Young Adult", I681&gt;=50, "Senior", I681&gt;=30, "Adult")</f>
        <v>Senior</v>
      </c>
      <c r="I681" s="4">
        <v>53</v>
      </c>
      <c r="J681" s="4" t="s">
        <v>20</v>
      </c>
      <c r="K681" s="4">
        <v>3</v>
      </c>
      <c r="L681" s="5">
        <v>300</v>
      </c>
      <c r="M681" s="5">
        <f>K681 * L681</f>
        <v>900</v>
      </c>
      <c r="N681" s="5">
        <f>M681 * $Q$4</f>
        <v>13.5</v>
      </c>
      <c r="O681" s="5">
        <f>M681* $Q$5</f>
        <v>18</v>
      </c>
    </row>
    <row r="682" spans="1:15">
      <c r="A682" s="2">
        <v>681</v>
      </c>
      <c r="B682" s="4">
        <f t="shared" si="30"/>
        <v>14</v>
      </c>
      <c r="C682" s="4">
        <f t="shared" si="31"/>
        <v>7</v>
      </c>
      <c r="D682" s="4">
        <f t="shared" si="32"/>
        <v>2023</v>
      </c>
      <c r="E682" s="3">
        <v>45121</v>
      </c>
      <c r="F682" s="4" t="s">
        <v>707</v>
      </c>
      <c r="G682" s="4" t="s">
        <v>19</v>
      </c>
      <c r="H682" s="4" t="str" cm="1">
        <f t="array" ref="H682">_xlfn.IFS(I682&lt;30, "Young Adult", I682&gt;=50, "Senior", I682&gt;=30, "Adult")</f>
        <v>Adult</v>
      </c>
      <c r="I682" s="4">
        <v>43</v>
      </c>
      <c r="J682" s="4" t="s">
        <v>24</v>
      </c>
      <c r="K682" s="4">
        <v>2</v>
      </c>
      <c r="L682" s="5">
        <v>30</v>
      </c>
      <c r="M682" s="5">
        <f>K682 * L682</f>
        <v>60</v>
      </c>
      <c r="N682" s="5">
        <f>M682 * $Q$4</f>
        <v>0.89999999999999991</v>
      </c>
      <c r="O682" s="5">
        <f>M682* $Q$5</f>
        <v>1.2</v>
      </c>
    </row>
    <row r="683" spans="1:15">
      <c r="A683" s="2">
        <v>682</v>
      </c>
      <c r="B683" s="4">
        <f t="shared" si="30"/>
        <v>2</v>
      </c>
      <c r="C683" s="4">
        <f t="shared" si="31"/>
        <v>9</v>
      </c>
      <c r="D683" s="4">
        <f t="shared" si="32"/>
        <v>2023</v>
      </c>
      <c r="E683" s="3">
        <v>45171</v>
      </c>
      <c r="F683" s="4" t="s">
        <v>708</v>
      </c>
      <c r="G683" s="4" t="s">
        <v>16</v>
      </c>
      <c r="H683" s="4" t="str" cm="1">
        <f t="array" ref="H683">_xlfn.IFS(I683&lt;30, "Young Adult", I683&gt;=50, "Senior", I683&gt;=30, "Adult")</f>
        <v>Adult</v>
      </c>
      <c r="I683" s="4">
        <v>46</v>
      </c>
      <c r="J683" s="4" t="s">
        <v>17</v>
      </c>
      <c r="K683" s="4">
        <v>4</v>
      </c>
      <c r="L683" s="5">
        <v>300</v>
      </c>
      <c r="M683" s="5">
        <f>K683 * L683</f>
        <v>1200</v>
      </c>
      <c r="N683" s="5">
        <f>M683 * $Q$4</f>
        <v>18</v>
      </c>
      <c r="O683" s="5">
        <f>M683* $Q$5</f>
        <v>24</v>
      </c>
    </row>
    <row r="684" spans="1:15">
      <c r="A684" s="2">
        <v>683</v>
      </c>
      <c r="B684" s="4">
        <f t="shared" si="30"/>
        <v>4</v>
      </c>
      <c r="C684" s="4">
        <f t="shared" si="31"/>
        <v>1</v>
      </c>
      <c r="D684" s="4">
        <f t="shared" si="32"/>
        <v>2023</v>
      </c>
      <c r="E684" s="3">
        <v>44930</v>
      </c>
      <c r="F684" s="4" t="s">
        <v>709</v>
      </c>
      <c r="G684" s="4" t="s">
        <v>16</v>
      </c>
      <c r="H684" s="4" t="str" cm="1">
        <f t="array" ref="H684">_xlfn.IFS(I684&lt;30, "Young Adult", I684&gt;=50, "Senior", I684&gt;=30, "Adult")</f>
        <v>Adult</v>
      </c>
      <c r="I684" s="4">
        <v>38</v>
      </c>
      <c r="J684" s="4" t="s">
        <v>17</v>
      </c>
      <c r="K684" s="4">
        <v>2</v>
      </c>
      <c r="L684" s="5">
        <v>500</v>
      </c>
      <c r="M684" s="5">
        <f>K684 * L684</f>
        <v>1000</v>
      </c>
      <c r="N684" s="5">
        <f>M684 * $Q$4</f>
        <v>15</v>
      </c>
      <c r="O684" s="5">
        <f>M684* $Q$5</f>
        <v>20</v>
      </c>
    </row>
    <row r="685" spans="1:15">
      <c r="A685" s="2">
        <v>684</v>
      </c>
      <c r="B685" s="4">
        <f t="shared" si="30"/>
        <v>30</v>
      </c>
      <c r="C685" s="4">
        <f t="shared" si="31"/>
        <v>6</v>
      </c>
      <c r="D685" s="4">
        <f t="shared" si="32"/>
        <v>2023</v>
      </c>
      <c r="E685" s="3">
        <v>45107</v>
      </c>
      <c r="F685" s="4" t="s">
        <v>710</v>
      </c>
      <c r="G685" s="4" t="s">
        <v>19</v>
      </c>
      <c r="H685" s="4" t="str" cm="1">
        <f t="array" ref="H685">_xlfn.IFS(I685&lt;30, "Young Adult", I685&gt;=50, "Senior", I685&gt;=30, "Adult")</f>
        <v>Young Adult</v>
      </c>
      <c r="I685" s="4">
        <v>28</v>
      </c>
      <c r="J685" s="4" t="s">
        <v>20</v>
      </c>
      <c r="K685" s="4">
        <v>2</v>
      </c>
      <c r="L685" s="5">
        <v>500</v>
      </c>
      <c r="M685" s="5">
        <f>K685 * L685</f>
        <v>1000</v>
      </c>
      <c r="N685" s="5">
        <f>M685 * $Q$4</f>
        <v>15</v>
      </c>
      <c r="O685" s="5">
        <f>M685* $Q$5</f>
        <v>20</v>
      </c>
    </row>
    <row r="686" spans="1:15">
      <c r="A686" s="2">
        <v>685</v>
      </c>
      <c r="B686" s="4">
        <f t="shared" si="30"/>
        <v>2</v>
      </c>
      <c r="C686" s="4">
        <f t="shared" si="31"/>
        <v>6</v>
      </c>
      <c r="D686" s="4">
        <f t="shared" si="32"/>
        <v>2023</v>
      </c>
      <c r="E686" s="3">
        <v>45079</v>
      </c>
      <c r="F686" s="4" t="s">
        <v>711</v>
      </c>
      <c r="G686" s="4" t="s">
        <v>16</v>
      </c>
      <c r="H686" s="4" t="str" cm="1">
        <f t="array" ref="H686">_xlfn.IFS(I686&lt;30, "Young Adult", I686&gt;=50, "Senior", I686&gt;=30, "Adult")</f>
        <v>Senior</v>
      </c>
      <c r="I686" s="4">
        <v>57</v>
      </c>
      <c r="J686" s="4" t="s">
        <v>24</v>
      </c>
      <c r="K686" s="4">
        <v>2</v>
      </c>
      <c r="L686" s="5">
        <v>25</v>
      </c>
      <c r="M686" s="5">
        <f>K686 * L686</f>
        <v>50</v>
      </c>
      <c r="N686" s="5">
        <f>M686 * $Q$4</f>
        <v>0.75</v>
      </c>
      <c r="O686" s="5">
        <f>M686* $Q$5</f>
        <v>1</v>
      </c>
    </row>
    <row r="687" spans="1:15">
      <c r="A687" s="2">
        <v>686</v>
      </c>
      <c r="B687" s="4">
        <f t="shared" si="30"/>
        <v>19</v>
      </c>
      <c r="C687" s="4">
        <f t="shared" si="31"/>
        <v>7</v>
      </c>
      <c r="D687" s="4">
        <f t="shared" si="32"/>
        <v>2023</v>
      </c>
      <c r="E687" s="3">
        <v>45126</v>
      </c>
      <c r="F687" s="4" t="s">
        <v>712</v>
      </c>
      <c r="G687" s="4" t="s">
        <v>19</v>
      </c>
      <c r="H687" s="4" t="str" cm="1">
        <f t="array" ref="H687">_xlfn.IFS(I687&lt;30, "Young Adult", I687&gt;=50, "Senior", I687&gt;=30, "Adult")</f>
        <v>Young Adult</v>
      </c>
      <c r="I687" s="4">
        <v>28</v>
      </c>
      <c r="J687" s="4" t="s">
        <v>24</v>
      </c>
      <c r="K687" s="4">
        <v>4</v>
      </c>
      <c r="L687" s="5">
        <v>50</v>
      </c>
      <c r="M687" s="5">
        <f>K687 * L687</f>
        <v>200</v>
      </c>
      <c r="N687" s="5">
        <f>M687 * $Q$4</f>
        <v>3</v>
      </c>
      <c r="O687" s="5">
        <f>M687* $Q$5</f>
        <v>4</v>
      </c>
    </row>
    <row r="688" spans="1:15">
      <c r="A688" s="2">
        <v>687</v>
      </c>
      <c r="B688" s="4">
        <f t="shared" si="30"/>
        <v>3</v>
      </c>
      <c r="C688" s="4">
        <f t="shared" si="31"/>
        <v>8</v>
      </c>
      <c r="D688" s="4">
        <f t="shared" si="32"/>
        <v>2023</v>
      </c>
      <c r="E688" s="3">
        <v>45141</v>
      </c>
      <c r="F688" s="4" t="s">
        <v>713</v>
      </c>
      <c r="G688" s="4" t="s">
        <v>19</v>
      </c>
      <c r="H688" s="4" t="str" cm="1">
        <f t="array" ref="H688">_xlfn.IFS(I688&lt;30, "Young Adult", I688&gt;=50, "Senior", I688&gt;=30, "Adult")</f>
        <v>Senior</v>
      </c>
      <c r="I688" s="4">
        <v>53</v>
      </c>
      <c r="J688" s="4" t="s">
        <v>24</v>
      </c>
      <c r="K688" s="4">
        <v>1</v>
      </c>
      <c r="L688" s="5">
        <v>300</v>
      </c>
      <c r="M688" s="5">
        <f>K688 * L688</f>
        <v>300</v>
      </c>
      <c r="N688" s="5">
        <f>M688 * $Q$4</f>
        <v>4.5</v>
      </c>
      <c r="O688" s="5">
        <f>M688* $Q$5</f>
        <v>6</v>
      </c>
    </row>
    <row r="689" spans="1:15">
      <c r="A689" s="2">
        <v>688</v>
      </c>
      <c r="B689" s="4">
        <f t="shared" si="30"/>
        <v>3</v>
      </c>
      <c r="C689" s="4">
        <f t="shared" si="31"/>
        <v>10</v>
      </c>
      <c r="D689" s="4">
        <f t="shared" si="32"/>
        <v>2023</v>
      </c>
      <c r="E689" s="3">
        <v>45202</v>
      </c>
      <c r="F689" s="4" t="s">
        <v>714</v>
      </c>
      <c r="G689" s="4" t="s">
        <v>16</v>
      </c>
      <c r="H689" s="4" t="str" cm="1">
        <f t="array" ref="H689">_xlfn.IFS(I689&lt;30, "Young Adult", I689&gt;=50, "Senior", I689&gt;=30, "Adult")</f>
        <v>Senior</v>
      </c>
      <c r="I689" s="4">
        <v>56</v>
      </c>
      <c r="J689" s="4" t="s">
        <v>20</v>
      </c>
      <c r="K689" s="4">
        <v>4</v>
      </c>
      <c r="L689" s="5">
        <v>25</v>
      </c>
      <c r="M689" s="5">
        <f>K689 * L689</f>
        <v>100</v>
      </c>
      <c r="N689" s="5">
        <f>M689 * $Q$4</f>
        <v>1.5</v>
      </c>
      <c r="O689" s="5">
        <f>M689* $Q$5</f>
        <v>2</v>
      </c>
    </row>
    <row r="690" spans="1:15">
      <c r="A690" s="2">
        <v>689</v>
      </c>
      <c r="B690" s="4">
        <f t="shared" si="30"/>
        <v>7</v>
      </c>
      <c r="C690" s="4">
        <f t="shared" si="31"/>
        <v>10</v>
      </c>
      <c r="D690" s="4">
        <f t="shared" si="32"/>
        <v>2023</v>
      </c>
      <c r="E690" s="3">
        <v>45206</v>
      </c>
      <c r="F690" s="4" t="s">
        <v>715</v>
      </c>
      <c r="G690" s="4" t="s">
        <v>16</v>
      </c>
      <c r="H690" s="4" t="str" cm="1">
        <f t="array" ref="H690">_xlfn.IFS(I690&lt;30, "Young Adult", I690&gt;=50, "Senior", I690&gt;=30, "Adult")</f>
        <v>Senior</v>
      </c>
      <c r="I690" s="4">
        <v>57</v>
      </c>
      <c r="J690" s="4" t="s">
        <v>24</v>
      </c>
      <c r="K690" s="4">
        <v>2</v>
      </c>
      <c r="L690" s="5">
        <v>50</v>
      </c>
      <c r="M690" s="5">
        <f>K690 * L690</f>
        <v>100</v>
      </c>
      <c r="N690" s="5">
        <f>M690 * $Q$4</f>
        <v>1.5</v>
      </c>
      <c r="O690" s="5">
        <f>M690* $Q$5</f>
        <v>2</v>
      </c>
    </row>
    <row r="691" spans="1:15">
      <c r="A691" s="2">
        <v>690</v>
      </c>
      <c r="B691" s="4">
        <f t="shared" si="30"/>
        <v>5</v>
      </c>
      <c r="C691" s="4">
        <f t="shared" si="31"/>
        <v>11</v>
      </c>
      <c r="D691" s="4">
        <f t="shared" si="32"/>
        <v>2023</v>
      </c>
      <c r="E691" s="3">
        <v>45235</v>
      </c>
      <c r="F691" s="4" t="s">
        <v>716</v>
      </c>
      <c r="G691" s="4" t="s">
        <v>19</v>
      </c>
      <c r="H691" s="4" t="str" cm="1">
        <f t="array" ref="H691">_xlfn.IFS(I691&lt;30, "Young Adult", I691&gt;=50, "Senior", I691&gt;=30, "Adult")</f>
        <v>Senior</v>
      </c>
      <c r="I691" s="4">
        <v>52</v>
      </c>
      <c r="J691" s="4" t="s">
        <v>20</v>
      </c>
      <c r="K691" s="4">
        <v>3</v>
      </c>
      <c r="L691" s="5">
        <v>300</v>
      </c>
      <c r="M691" s="5">
        <f>K691 * L691</f>
        <v>900</v>
      </c>
      <c r="N691" s="5">
        <f>M691 * $Q$4</f>
        <v>13.5</v>
      </c>
      <c r="O691" s="5">
        <f>M691* $Q$5</f>
        <v>18</v>
      </c>
    </row>
    <row r="692" spans="1:15">
      <c r="A692" s="2">
        <v>691</v>
      </c>
      <c r="B692" s="4">
        <f t="shared" si="30"/>
        <v>23</v>
      </c>
      <c r="C692" s="4">
        <f t="shared" si="31"/>
        <v>4</v>
      </c>
      <c r="D692" s="4">
        <f t="shared" si="32"/>
        <v>2023</v>
      </c>
      <c r="E692" s="3">
        <v>45039</v>
      </c>
      <c r="F692" s="4" t="s">
        <v>717</v>
      </c>
      <c r="G692" s="4" t="s">
        <v>19</v>
      </c>
      <c r="H692" s="4" t="str" cm="1">
        <f t="array" ref="H692">_xlfn.IFS(I692&lt;30, "Young Adult", I692&gt;=50, "Senior", I692&gt;=30, "Adult")</f>
        <v>Senior</v>
      </c>
      <c r="I692" s="4">
        <v>51</v>
      </c>
      <c r="J692" s="4" t="s">
        <v>20</v>
      </c>
      <c r="K692" s="4">
        <v>3</v>
      </c>
      <c r="L692" s="5">
        <v>30</v>
      </c>
      <c r="M692" s="5">
        <f>K692 * L692</f>
        <v>90</v>
      </c>
      <c r="N692" s="5">
        <f>M692 * $Q$4</f>
        <v>1.3499999999999999</v>
      </c>
      <c r="O692" s="5">
        <f>M692* $Q$5</f>
        <v>1.8</v>
      </c>
    </row>
    <row r="693" spans="1:15">
      <c r="A693" s="2">
        <v>692</v>
      </c>
      <c r="B693" s="4">
        <f t="shared" si="30"/>
        <v>7</v>
      </c>
      <c r="C693" s="4">
        <f t="shared" si="31"/>
        <v>9</v>
      </c>
      <c r="D693" s="4">
        <f t="shared" si="32"/>
        <v>2023</v>
      </c>
      <c r="E693" s="3">
        <v>45176</v>
      </c>
      <c r="F693" s="4" t="s">
        <v>718</v>
      </c>
      <c r="G693" s="4" t="s">
        <v>19</v>
      </c>
      <c r="H693" s="4" t="str" cm="1">
        <f t="array" ref="H693">_xlfn.IFS(I693&lt;30, "Young Adult", I693&gt;=50, "Senior", I693&gt;=30, "Adult")</f>
        <v>Senior</v>
      </c>
      <c r="I693" s="4">
        <v>64</v>
      </c>
      <c r="J693" s="4" t="s">
        <v>20</v>
      </c>
      <c r="K693" s="4">
        <v>2</v>
      </c>
      <c r="L693" s="5">
        <v>50</v>
      </c>
      <c r="M693" s="5">
        <f>K693 * L693</f>
        <v>100</v>
      </c>
      <c r="N693" s="5">
        <f>M693 * $Q$4</f>
        <v>1.5</v>
      </c>
      <c r="O693" s="5">
        <f>M693* $Q$5</f>
        <v>2</v>
      </c>
    </row>
    <row r="694" spans="1:15">
      <c r="A694" s="2">
        <v>693</v>
      </c>
      <c r="B694" s="4">
        <f t="shared" si="30"/>
        <v>23</v>
      </c>
      <c r="C694" s="4">
        <f t="shared" si="31"/>
        <v>4</v>
      </c>
      <c r="D694" s="4">
        <f t="shared" si="32"/>
        <v>2023</v>
      </c>
      <c r="E694" s="3">
        <v>45039</v>
      </c>
      <c r="F694" s="4" t="s">
        <v>719</v>
      </c>
      <c r="G694" s="4" t="s">
        <v>16</v>
      </c>
      <c r="H694" s="4" t="str" cm="1">
        <f t="array" ref="H694">_xlfn.IFS(I694&lt;30, "Young Adult", I694&gt;=50, "Senior", I694&gt;=30, "Adult")</f>
        <v>Adult</v>
      </c>
      <c r="I694" s="4">
        <v>41</v>
      </c>
      <c r="J694" s="4" t="s">
        <v>17</v>
      </c>
      <c r="K694" s="4">
        <v>3</v>
      </c>
      <c r="L694" s="5">
        <v>500</v>
      </c>
      <c r="M694" s="5">
        <f>K694 * L694</f>
        <v>1500</v>
      </c>
      <c r="N694" s="5">
        <f>M694 * $Q$4</f>
        <v>22.5</v>
      </c>
      <c r="O694" s="5">
        <f>M694* $Q$5</f>
        <v>30</v>
      </c>
    </row>
    <row r="695" spans="1:15">
      <c r="A695" s="2">
        <v>694</v>
      </c>
      <c r="B695" s="4">
        <f t="shared" si="30"/>
        <v>20</v>
      </c>
      <c r="C695" s="4">
        <f t="shared" si="31"/>
        <v>5</v>
      </c>
      <c r="D695" s="4">
        <f t="shared" si="32"/>
        <v>2023</v>
      </c>
      <c r="E695" s="3">
        <v>45066</v>
      </c>
      <c r="F695" s="4" t="s">
        <v>720</v>
      </c>
      <c r="G695" s="4" t="s">
        <v>19</v>
      </c>
      <c r="H695" s="4" t="str" cm="1">
        <f t="array" ref="H695">_xlfn.IFS(I695&lt;30, "Young Adult", I695&gt;=50, "Senior", I695&gt;=30, "Adult")</f>
        <v>Adult</v>
      </c>
      <c r="I695" s="4">
        <v>39</v>
      </c>
      <c r="J695" s="4" t="s">
        <v>24</v>
      </c>
      <c r="K695" s="4">
        <v>2</v>
      </c>
      <c r="L695" s="5">
        <v>25</v>
      </c>
      <c r="M695" s="5">
        <f>K695 * L695</f>
        <v>50</v>
      </c>
      <c r="N695" s="5">
        <f>M695 * $Q$4</f>
        <v>0.75</v>
      </c>
      <c r="O695" s="5">
        <f>M695* $Q$5</f>
        <v>1</v>
      </c>
    </row>
    <row r="696" spans="1:15">
      <c r="A696" s="2">
        <v>695</v>
      </c>
      <c r="B696" s="4">
        <f t="shared" si="30"/>
        <v>12</v>
      </c>
      <c r="C696" s="4">
        <f t="shared" si="31"/>
        <v>8</v>
      </c>
      <c r="D696" s="4">
        <f t="shared" si="32"/>
        <v>2023</v>
      </c>
      <c r="E696" s="3">
        <v>45150</v>
      </c>
      <c r="F696" s="4" t="s">
        <v>721</v>
      </c>
      <c r="G696" s="4" t="s">
        <v>19</v>
      </c>
      <c r="H696" s="4" t="str" cm="1">
        <f t="array" ref="H696">_xlfn.IFS(I696&lt;30, "Young Adult", I696&gt;=50, "Senior", I696&gt;=30, "Adult")</f>
        <v>Young Adult</v>
      </c>
      <c r="I696" s="4">
        <v>22</v>
      </c>
      <c r="J696" s="4" t="s">
        <v>24</v>
      </c>
      <c r="K696" s="4">
        <v>3</v>
      </c>
      <c r="L696" s="5">
        <v>50</v>
      </c>
      <c r="M696" s="5">
        <f>K696 * L696</f>
        <v>150</v>
      </c>
      <c r="N696" s="5">
        <f>M696 * $Q$4</f>
        <v>2.25</v>
      </c>
      <c r="O696" s="5">
        <f>M696* $Q$5</f>
        <v>3</v>
      </c>
    </row>
    <row r="697" spans="1:15">
      <c r="A697" s="2">
        <v>696</v>
      </c>
      <c r="B697" s="4">
        <f t="shared" si="30"/>
        <v>6</v>
      </c>
      <c r="C697" s="4">
        <f t="shared" si="31"/>
        <v>9</v>
      </c>
      <c r="D697" s="4">
        <f t="shared" si="32"/>
        <v>2023</v>
      </c>
      <c r="E697" s="3">
        <v>45175</v>
      </c>
      <c r="F697" s="4" t="s">
        <v>722</v>
      </c>
      <c r="G697" s="4" t="s">
        <v>19</v>
      </c>
      <c r="H697" s="4" t="str" cm="1">
        <f t="array" ref="H697">_xlfn.IFS(I697&lt;30, "Young Adult", I697&gt;=50, "Senior", I697&gt;=30, "Adult")</f>
        <v>Senior</v>
      </c>
      <c r="I697" s="4">
        <v>50</v>
      </c>
      <c r="J697" s="4" t="s">
        <v>20</v>
      </c>
      <c r="K697" s="4">
        <v>4</v>
      </c>
      <c r="L697" s="5">
        <v>50</v>
      </c>
      <c r="M697" s="5">
        <f>K697 * L697</f>
        <v>200</v>
      </c>
      <c r="N697" s="5">
        <f>M697 * $Q$4</f>
        <v>3</v>
      </c>
      <c r="O697" s="5">
        <f>M697* $Q$5</f>
        <v>4</v>
      </c>
    </row>
    <row r="698" spans="1:15">
      <c r="A698" s="2">
        <v>697</v>
      </c>
      <c r="B698" s="4">
        <f t="shared" si="30"/>
        <v>15</v>
      </c>
      <c r="C698" s="4">
        <f t="shared" si="31"/>
        <v>1</v>
      </c>
      <c r="D698" s="4">
        <f t="shared" si="32"/>
        <v>2023</v>
      </c>
      <c r="E698" s="3">
        <v>44941</v>
      </c>
      <c r="F698" s="4" t="s">
        <v>723</v>
      </c>
      <c r="G698" s="4" t="s">
        <v>16</v>
      </c>
      <c r="H698" s="4" t="str" cm="1">
        <f t="array" ref="H698">_xlfn.IFS(I698&lt;30, "Young Adult", I698&gt;=50, "Senior", I698&gt;=30, "Adult")</f>
        <v>Senior</v>
      </c>
      <c r="I698" s="4">
        <v>53</v>
      </c>
      <c r="J698" s="4" t="s">
        <v>20</v>
      </c>
      <c r="K698" s="4">
        <v>1</v>
      </c>
      <c r="L698" s="5">
        <v>500</v>
      </c>
      <c r="M698" s="5">
        <f>K698 * L698</f>
        <v>500</v>
      </c>
      <c r="N698" s="5">
        <f>M698 * $Q$4</f>
        <v>7.5</v>
      </c>
      <c r="O698" s="5">
        <f>M698* $Q$5</f>
        <v>10</v>
      </c>
    </row>
    <row r="699" spans="1:15">
      <c r="A699" s="2">
        <v>698</v>
      </c>
      <c r="B699" s="4">
        <f t="shared" si="30"/>
        <v>19</v>
      </c>
      <c r="C699" s="4">
        <f t="shared" si="31"/>
        <v>7</v>
      </c>
      <c r="D699" s="4">
        <f t="shared" si="32"/>
        <v>2023</v>
      </c>
      <c r="E699" s="3">
        <v>45126</v>
      </c>
      <c r="F699" s="4" t="s">
        <v>724</v>
      </c>
      <c r="G699" s="4" t="s">
        <v>19</v>
      </c>
      <c r="H699" s="4" t="str" cm="1">
        <f t="array" ref="H699">_xlfn.IFS(I699&lt;30, "Young Adult", I699&gt;=50, "Senior", I699&gt;=30, "Adult")</f>
        <v>Senior</v>
      </c>
      <c r="I699" s="4">
        <v>64</v>
      </c>
      <c r="J699" s="4" t="s">
        <v>24</v>
      </c>
      <c r="K699" s="4">
        <v>1</v>
      </c>
      <c r="L699" s="5">
        <v>300</v>
      </c>
      <c r="M699" s="5">
        <f>K699 * L699</f>
        <v>300</v>
      </c>
      <c r="N699" s="5">
        <f>M699 * $Q$4</f>
        <v>4.5</v>
      </c>
      <c r="O699" s="5">
        <f>M699* $Q$5</f>
        <v>6</v>
      </c>
    </row>
    <row r="700" spans="1:15">
      <c r="A700" s="2">
        <v>699</v>
      </c>
      <c r="B700" s="4">
        <f t="shared" si="30"/>
        <v>22</v>
      </c>
      <c r="C700" s="4">
        <f t="shared" si="31"/>
        <v>6</v>
      </c>
      <c r="D700" s="4">
        <f t="shared" si="32"/>
        <v>2023</v>
      </c>
      <c r="E700" s="3">
        <v>45099</v>
      </c>
      <c r="F700" s="4" t="s">
        <v>725</v>
      </c>
      <c r="G700" s="4" t="s">
        <v>19</v>
      </c>
      <c r="H700" s="4" t="str" cm="1">
        <f t="array" ref="H700">_xlfn.IFS(I700&lt;30, "Young Adult", I700&gt;=50, "Senior", I700&gt;=30, "Adult")</f>
        <v>Adult</v>
      </c>
      <c r="I700" s="4">
        <v>37</v>
      </c>
      <c r="J700" s="4" t="s">
        <v>20</v>
      </c>
      <c r="K700" s="4">
        <v>4</v>
      </c>
      <c r="L700" s="5">
        <v>30</v>
      </c>
      <c r="M700" s="5">
        <f>K700 * L700</f>
        <v>120</v>
      </c>
      <c r="N700" s="5">
        <f>M700 * $Q$4</f>
        <v>1.7999999999999998</v>
      </c>
      <c r="O700" s="5">
        <f>M700* $Q$5</f>
        <v>2.4</v>
      </c>
    </row>
    <row r="701" spans="1:15">
      <c r="A701" s="2">
        <v>700</v>
      </c>
      <c r="B701" s="4">
        <f t="shared" si="30"/>
        <v>9</v>
      </c>
      <c r="C701" s="4">
        <f t="shared" si="31"/>
        <v>12</v>
      </c>
      <c r="D701" s="4">
        <f t="shared" si="32"/>
        <v>2023</v>
      </c>
      <c r="E701" s="3">
        <v>45269</v>
      </c>
      <c r="F701" s="4" t="s">
        <v>726</v>
      </c>
      <c r="G701" s="4" t="s">
        <v>16</v>
      </c>
      <c r="H701" s="4" t="str" cm="1">
        <f t="array" ref="H701">_xlfn.IFS(I701&lt;30, "Young Adult", I701&gt;=50, "Senior", I701&gt;=30, "Adult")</f>
        <v>Adult</v>
      </c>
      <c r="I701" s="4">
        <v>36</v>
      </c>
      <c r="J701" s="4" t="s">
        <v>24</v>
      </c>
      <c r="K701" s="4">
        <v>4</v>
      </c>
      <c r="L701" s="5">
        <v>500</v>
      </c>
      <c r="M701" s="5">
        <f>K701 * L701</f>
        <v>2000</v>
      </c>
      <c r="N701" s="5">
        <f>M701 * $Q$4</f>
        <v>30</v>
      </c>
      <c r="O701" s="5">
        <f>M701* $Q$5</f>
        <v>40</v>
      </c>
    </row>
    <row r="702" spans="1:15">
      <c r="A702" s="2">
        <v>701</v>
      </c>
      <c r="B702" s="4">
        <f t="shared" si="30"/>
        <v>14</v>
      </c>
      <c r="C702" s="4">
        <f t="shared" si="31"/>
        <v>12</v>
      </c>
      <c r="D702" s="4">
        <f t="shared" si="32"/>
        <v>2023</v>
      </c>
      <c r="E702" s="3">
        <v>45274</v>
      </c>
      <c r="F702" s="4" t="s">
        <v>727</v>
      </c>
      <c r="G702" s="4" t="s">
        <v>19</v>
      </c>
      <c r="H702" s="4" t="str" cm="1">
        <f t="array" ref="H702">_xlfn.IFS(I702&lt;30, "Young Adult", I702&gt;=50, "Senior", I702&gt;=30, "Adult")</f>
        <v>Senior</v>
      </c>
      <c r="I702" s="4">
        <v>52</v>
      </c>
      <c r="J702" s="4" t="s">
        <v>17</v>
      </c>
      <c r="K702" s="4">
        <v>2</v>
      </c>
      <c r="L702" s="5">
        <v>30</v>
      </c>
      <c r="M702" s="5">
        <f>K702 * L702</f>
        <v>60</v>
      </c>
      <c r="N702" s="5">
        <f>M702 * $Q$4</f>
        <v>0.89999999999999991</v>
      </c>
      <c r="O702" s="5">
        <f>M702* $Q$5</f>
        <v>1.2</v>
      </c>
    </row>
    <row r="703" spans="1:15">
      <c r="A703" s="2">
        <v>702</v>
      </c>
      <c r="B703" s="4">
        <f t="shared" si="30"/>
        <v>27</v>
      </c>
      <c r="C703" s="4">
        <f t="shared" si="31"/>
        <v>7</v>
      </c>
      <c r="D703" s="4">
        <f t="shared" si="32"/>
        <v>2023</v>
      </c>
      <c r="E703" s="3">
        <v>45134</v>
      </c>
      <c r="F703" s="4" t="s">
        <v>728</v>
      </c>
      <c r="G703" s="4" t="s">
        <v>19</v>
      </c>
      <c r="H703" s="4" t="str" cm="1">
        <f t="array" ref="H703">_xlfn.IFS(I703&lt;30, "Young Adult", I703&gt;=50, "Senior", I703&gt;=30, "Adult")</f>
        <v>Senior</v>
      </c>
      <c r="I703" s="4">
        <v>60</v>
      </c>
      <c r="J703" s="4" t="s">
        <v>20</v>
      </c>
      <c r="K703" s="4">
        <v>2</v>
      </c>
      <c r="L703" s="5">
        <v>300</v>
      </c>
      <c r="M703" s="5">
        <f>K703 * L703</f>
        <v>600</v>
      </c>
      <c r="N703" s="5">
        <f>M703 * $Q$4</f>
        <v>9</v>
      </c>
      <c r="O703" s="5">
        <f>M703* $Q$5</f>
        <v>12</v>
      </c>
    </row>
    <row r="704" spans="1:15">
      <c r="A704" s="2">
        <v>703</v>
      </c>
      <c r="B704" s="4">
        <f t="shared" si="30"/>
        <v>26</v>
      </c>
      <c r="C704" s="4">
        <f t="shared" si="31"/>
        <v>3</v>
      </c>
      <c r="D704" s="4">
        <f t="shared" si="32"/>
        <v>2023</v>
      </c>
      <c r="E704" s="3">
        <v>45011</v>
      </c>
      <c r="F704" s="4" t="s">
        <v>729</v>
      </c>
      <c r="G704" s="4" t="s">
        <v>16</v>
      </c>
      <c r="H704" s="4" t="str" cm="1">
        <f t="array" ref="H704">_xlfn.IFS(I704&lt;30, "Young Adult", I704&gt;=50, "Senior", I704&gt;=30, "Adult")</f>
        <v>Adult</v>
      </c>
      <c r="I704" s="4">
        <v>34</v>
      </c>
      <c r="J704" s="4" t="s">
        <v>24</v>
      </c>
      <c r="K704" s="4">
        <v>2</v>
      </c>
      <c r="L704" s="5">
        <v>50</v>
      </c>
      <c r="M704" s="5">
        <f>K704 * L704</f>
        <v>100</v>
      </c>
      <c r="N704" s="5">
        <f>M704 * $Q$4</f>
        <v>1.5</v>
      </c>
      <c r="O704" s="5">
        <f>M704* $Q$5</f>
        <v>2</v>
      </c>
    </row>
    <row r="705" spans="1:15">
      <c r="A705" s="2">
        <v>704</v>
      </c>
      <c r="B705" s="4">
        <f t="shared" si="30"/>
        <v>28</v>
      </c>
      <c r="C705" s="4">
        <f t="shared" si="31"/>
        <v>8</v>
      </c>
      <c r="D705" s="4">
        <f t="shared" si="32"/>
        <v>2023</v>
      </c>
      <c r="E705" s="3">
        <v>45166</v>
      </c>
      <c r="F705" s="4" t="s">
        <v>730</v>
      </c>
      <c r="G705" s="4" t="s">
        <v>19</v>
      </c>
      <c r="H705" s="4" t="str" cm="1">
        <f t="array" ref="H705">_xlfn.IFS(I705&lt;30, "Young Adult", I705&gt;=50, "Senior", I705&gt;=30, "Adult")</f>
        <v>Senior</v>
      </c>
      <c r="I705" s="4">
        <v>62</v>
      </c>
      <c r="J705" s="4" t="s">
        <v>20</v>
      </c>
      <c r="K705" s="4">
        <v>3</v>
      </c>
      <c r="L705" s="5">
        <v>30</v>
      </c>
      <c r="M705" s="5">
        <f>K705 * L705</f>
        <v>90</v>
      </c>
      <c r="N705" s="5">
        <f>M705 * $Q$4</f>
        <v>1.3499999999999999</v>
      </c>
      <c r="O705" s="5">
        <f>M705* $Q$5</f>
        <v>1.8</v>
      </c>
    </row>
    <row r="706" spans="1:15">
      <c r="A706" s="2">
        <v>705</v>
      </c>
      <c r="B706" s="4">
        <f t="shared" si="30"/>
        <v>7</v>
      </c>
      <c r="C706" s="4">
        <f t="shared" si="31"/>
        <v>3</v>
      </c>
      <c r="D706" s="4">
        <f t="shared" si="32"/>
        <v>2023</v>
      </c>
      <c r="E706" s="3">
        <v>44992</v>
      </c>
      <c r="F706" s="4" t="s">
        <v>731</v>
      </c>
      <c r="G706" s="4" t="s">
        <v>16</v>
      </c>
      <c r="H706" s="4" t="str" cm="1">
        <f t="array" ref="H706">_xlfn.IFS(I706&lt;30, "Young Adult", I706&gt;=50, "Senior", I706&gt;=30, "Adult")</f>
        <v>Senior</v>
      </c>
      <c r="I706" s="4">
        <v>60</v>
      </c>
      <c r="J706" s="4" t="s">
        <v>24</v>
      </c>
      <c r="K706" s="4">
        <v>2</v>
      </c>
      <c r="L706" s="5">
        <v>25</v>
      </c>
      <c r="M706" s="5">
        <f>K706 * L706</f>
        <v>50</v>
      </c>
      <c r="N706" s="5">
        <f>M706 * $Q$4</f>
        <v>0.75</v>
      </c>
      <c r="O706" s="5">
        <f>M706* $Q$5</f>
        <v>1</v>
      </c>
    </row>
    <row r="707" spans="1:15">
      <c r="A707" s="2">
        <v>706</v>
      </c>
      <c r="B707" s="4">
        <f t="shared" ref="B707:B770" si="33">DAY(E707)</f>
        <v>15</v>
      </c>
      <c r="C707" s="4">
        <f t="shared" ref="C707:C770" si="34">MONTH(E707)</f>
        <v>11</v>
      </c>
      <c r="D707" s="4">
        <f t="shared" ref="D707:D770" si="35">YEAR(E707)</f>
        <v>2023</v>
      </c>
      <c r="E707" s="3">
        <v>45245</v>
      </c>
      <c r="F707" s="4" t="s">
        <v>732</v>
      </c>
      <c r="G707" s="4" t="s">
        <v>16</v>
      </c>
      <c r="H707" s="4" t="str" cm="1">
        <f t="array" ref="H707">_xlfn.IFS(I707&lt;30, "Young Adult", I707&gt;=50, "Senior", I707&gt;=30, "Adult")</f>
        <v>Senior</v>
      </c>
      <c r="I707" s="4">
        <v>51</v>
      </c>
      <c r="J707" s="4" t="s">
        <v>24</v>
      </c>
      <c r="K707" s="4">
        <v>4</v>
      </c>
      <c r="L707" s="5">
        <v>25</v>
      </c>
      <c r="M707" s="5">
        <f>K707 * L707</f>
        <v>100</v>
      </c>
      <c r="N707" s="5">
        <f>M707 * $Q$4</f>
        <v>1.5</v>
      </c>
      <c r="O707" s="5">
        <f>M707* $Q$5</f>
        <v>2</v>
      </c>
    </row>
    <row r="708" spans="1:15">
      <c r="A708" s="2">
        <v>707</v>
      </c>
      <c r="B708" s="4">
        <f t="shared" si="33"/>
        <v>1</v>
      </c>
      <c r="C708" s="4">
        <f t="shared" si="34"/>
        <v>10</v>
      </c>
      <c r="D708" s="4">
        <f t="shared" si="35"/>
        <v>2023</v>
      </c>
      <c r="E708" s="3">
        <v>45200</v>
      </c>
      <c r="F708" s="4" t="s">
        <v>733</v>
      </c>
      <c r="G708" s="4" t="s">
        <v>19</v>
      </c>
      <c r="H708" s="4" t="str" cm="1">
        <f t="array" ref="H708">_xlfn.IFS(I708&lt;30, "Young Adult", I708&gt;=50, "Senior", I708&gt;=30, "Adult")</f>
        <v>Young Adult</v>
      </c>
      <c r="I708" s="4">
        <v>26</v>
      </c>
      <c r="J708" s="4" t="s">
        <v>20</v>
      </c>
      <c r="K708" s="4">
        <v>1</v>
      </c>
      <c r="L708" s="5">
        <v>500</v>
      </c>
      <c r="M708" s="5">
        <f>K708 * L708</f>
        <v>500</v>
      </c>
      <c r="N708" s="5">
        <f>M708 * $Q$4</f>
        <v>7.5</v>
      </c>
      <c r="O708" s="5">
        <f>M708* $Q$5</f>
        <v>10</v>
      </c>
    </row>
    <row r="709" spans="1:15">
      <c r="A709" s="2">
        <v>708</v>
      </c>
      <c r="B709" s="4">
        <f t="shared" si="33"/>
        <v>14</v>
      </c>
      <c r="C709" s="4">
        <f t="shared" si="34"/>
        <v>1</v>
      </c>
      <c r="D709" s="4">
        <f t="shared" si="35"/>
        <v>2023</v>
      </c>
      <c r="E709" s="3">
        <v>44940</v>
      </c>
      <c r="F709" s="4" t="s">
        <v>734</v>
      </c>
      <c r="G709" s="4" t="s">
        <v>19</v>
      </c>
      <c r="H709" s="4" t="str" cm="1">
        <f t="array" ref="H709">_xlfn.IFS(I709&lt;30, "Young Adult", I709&gt;=50, "Senior", I709&gt;=30, "Adult")</f>
        <v>Adult</v>
      </c>
      <c r="I709" s="4">
        <v>43</v>
      </c>
      <c r="J709" s="4" t="s">
        <v>17</v>
      </c>
      <c r="K709" s="4">
        <v>3</v>
      </c>
      <c r="L709" s="5">
        <v>300</v>
      </c>
      <c r="M709" s="5">
        <f>K709 * L709</f>
        <v>900</v>
      </c>
      <c r="N709" s="5">
        <f>M709 * $Q$4</f>
        <v>13.5</v>
      </c>
      <c r="O709" s="5">
        <f>M709* $Q$5</f>
        <v>18</v>
      </c>
    </row>
    <row r="710" spans="1:15">
      <c r="A710" s="2">
        <v>709</v>
      </c>
      <c r="B710" s="4">
        <f t="shared" si="33"/>
        <v>21</v>
      </c>
      <c r="C710" s="4">
        <f t="shared" si="34"/>
        <v>7</v>
      </c>
      <c r="D710" s="4">
        <f t="shared" si="35"/>
        <v>2023</v>
      </c>
      <c r="E710" s="3">
        <v>45128</v>
      </c>
      <c r="F710" s="4" t="s">
        <v>735</v>
      </c>
      <c r="G710" s="4" t="s">
        <v>19</v>
      </c>
      <c r="H710" s="4" t="str" cm="1">
        <f t="array" ref="H710">_xlfn.IFS(I710&lt;30, "Young Adult", I710&gt;=50, "Senior", I710&gt;=30, "Adult")</f>
        <v>Young Adult</v>
      </c>
      <c r="I710" s="4">
        <v>19</v>
      </c>
      <c r="J710" s="4" t="s">
        <v>24</v>
      </c>
      <c r="K710" s="4">
        <v>2</v>
      </c>
      <c r="L710" s="5">
        <v>500</v>
      </c>
      <c r="M710" s="5">
        <f>K710 * L710</f>
        <v>1000</v>
      </c>
      <c r="N710" s="5">
        <f>M710 * $Q$4</f>
        <v>15</v>
      </c>
      <c r="O710" s="5">
        <f>M710* $Q$5</f>
        <v>20</v>
      </c>
    </row>
    <row r="711" spans="1:15">
      <c r="A711" s="2">
        <v>710</v>
      </c>
      <c r="B711" s="4">
        <f t="shared" si="33"/>
        <v>31</v>
      </c>
      <c r="C711" s="4">
        <f t="shared" si="34"/>
        <v>10</v>
      </c>
      <c r="D711" s="4">
        <f t="shared" si="35"/>
        <v>2023</v>
      </c>
      <c r="E711" s="3">
        <v>45230</v>
      </c>
      <c r="F711" s="4" t="s">
        <v>736</v>
      </c>
      <c r="G711" s="4" t="s">
        <v>19</v>
      </c>
      <c r="H711" s="4" t="str" cm="1">
        <f t="array" ref="H711">_xlfn.IFS(I711&lt;30, "Young Adult", I711&gt;=50, "Senior", I711&gt;=30, "Adult")</f>
        <v>Young Adult</v>
      </c>
      <c r="I711" s="4">
        <v>26</v>
      </c>
      <c r="J711" s="4" t="s">
        <v>24</v>
      </c>
      <c r="K711" s="4">
        <v>3</v>
      </c>
      <c r="L711" s="5">
        <v>500</v>
      </c>
      <c r="M711" s="5">
        <f>K711 * L711</f>
        <v>1500</v>
      </c>
      <c r="N711" s="5">
        <f>M711 * $Q$4</f>
        <v>22.5</v>
      </c>
      <c r="O711" s="5">
        <f>M711* $Q$5</f>
        <v>30</v>
      </c>
    </row>
    <row r="712" spans="1:15">
      <c r="A712" s="2">
        <v>711</v>
      </c>
      <c r="B712" s="4">
        <f t="shared" si="33"/>
        <v>16</v>
      </c>
      <c r="C712" s="4">
        <f t="shared" si="34"/>
        <v>10</v>
      </c>
      <c r="D712" s="4">
        <f t="shared" si="35"/>
        <v>2023</v>
      </c>
      <c r="E712" s="3">
        <v>45215</v>
      </c>
      <c r="F712" s="4" t="s">
        <v>737</v>
      </c>
      <c r="G712" s="4" t="s">
        <v>16</v>
      </c>
      <c r="H712" s="4" t="str" cm="1">
        <f t="array" ref="H712">_xlfn.IFS(I712&lt;30, "Young Adult", I712&gt;=50, "Senior", I712&gt;=30, "Adult")</f>
        <v>Young Adult</v>
      </c>
      <c r="I712" s="4">
        <v>26</v>
      </c>
      <c r="J712" s="4" t="s">
        <v>24</v>
      </c>
      <c r="K712" s="4">
        <v>3</v>
      </c>
      <c r="L712" s="5">
        <v>500</v>
      </c>
      <c r="M712" s="5">
        <f>K712 * L712</f>
        <v>1500</v>
      </c>
      <c r="N712" s="5">
        <f>M712 * $Q$4</f>
        <v>22.5</v>
      </c>
      <c r="O712" s="5">
        <f>M712* $Q$5</f>
        <v>30</v>
      </c>
    </row>
    <row r="713" spans="1:15">
      <c r="A713" s="2">
        <v>712</v>
      </c>
      <c r="B713" s="4">
        <f t="shared" si="33"/>
        <v>6</v>
      </c>
      <c r="C713" s="4">
        <f t="shared" si="34"/>
        <v>12</v>
      </c>
      <c r="D713" s="4">
        <f t="shared" si="35"/>
        <v>2023</v>
      </c>
      <c r="E713" s="3">
        <v>45266</v>
      </c>
      <c r="F713" s="4" t="s">
        <v>738</v>
      </c>
      <c r="G713" s="4" t="s">
        <v>19</v>
      </c>
      <c r="H713" s="4" t="str" cm="1">
        <f t="array" ref="H713">_xlfn.IFS(I713&lt;30, "Young Adult", I713&gt;=50, "Senior", I713&gt;=30, "Adult")</f>
        <v>Senior</v>
      </c>
      <c r="I713" s="4">
        <v>57</v>
      </c>
      <c r="J713" s="4" t="s">
        <v>17</v>
      </c>
      <c r="K713" s="4">
        <v>2</v>
      </c>
      <c r="L713" s="5">
        <v>25</v>
      </c>
      <c r="M713" s="5">
        <f>K713 * L713</f>
        <v>50</v>
      </c>
      <c r="N713" s="5">
        <f>M713 * $Q$4</f>
        <v>0.75</v>
      </c>
      <c r="O713" s="5">
        <f>M713* $Q$5</f>
        <v>1</v>
      </c>
    </row>
    <row r="714" spans="1:15">
      <c r="A714" s="2">
        <v>713</v>
      </c>
      <c r="B714" s="4">
        <f t="shared" si="33"/>
        <v>14</v>
      </c>
      <c r="C714" s="4">
        <f t="shared" si="34"/>
        <v>1</v>
      </c>
      <c r="D714" s="4">
        <f t="shared" si="35"/>
        <v>2023</v>
      </c>
      <c r="E714" s="3">
        <v>44940</v>
      </c>
      <c r="F714" s="4" t="s">
        <v>739</v>
      </c>
      <c r="G714" s="4" t="s">
        <v>16</v>
      </c>
      <c r="H714" s="4" t="str" cm="1">
        <f t="array" ref="H714">_xlfn.IFS(I714&lt;30, "Young Adult", I714&gt;=50, "Senior", I714&gt;=30, "Adult")</f>
        <v>Adult</v>
      </c>
      <c r="I714" s="4">
        <v>34</v>
      </c>
      <c r="J714" s="4" t="s">
        <v>17</v>
      </c>
      <c r="K714" s="4">
        <v>3</v>
      </c>
      <c r="L714" s="5">
        <v>25</v>
      </c>
      <c r="M714" s="5">
        <f>K714 * L714</f>
        <v>75</v>
      </c>
      <c r="N714" s="5">
        <f>M714 * $Q$4</f>
        <v>1.125</v>
      </c>
      <c r="O714" s="5">
        <f>M714* $Q$5</f>
        <v>1.5</v>
      </c>
    </row>
    <row r="715" spans="1:15">
      <c r="A715" s="2">
        <v>714</v>
      </c>
      <c r="B715" s="4">
        <f t="shared" si="33"/>
        <v>12</v>
      </c>
      <c r="C715" s="4">
        <f t="shared" si="34"/>
        <v>2</v>
      </c>
      <c r="D715" s="4">
        <f t="shared" si="35"/>
        <v>2023</v>
      </c>
      <c r="E715" s="3">
        <v>44969</v>
      </c>
      <c r="F715" s="4" t="s">
        <v>740</v>
      </c>
      <c r="G715" s="4" t="s">
        <v>19</v>
      </c>
      <c r="H715" s="4" t="str" cm="1">
        <f t="array" ref="H715">_xlfn.IFS(I715&lt;30, "Young Adult", I715&gt;=50, "Senior", I715&gt;=30, "Adult")</f>
        <v>Young Adult</v>
      </c>
      <c r="I715" s="4">
        <v>18</v>
      </c>
      <c r="J715" s="4" t="s">
        <v>20</v>
      </c>
      <c r="K715" s="4">
        <v>1</v>
      </c>
      <c r="L715" s="5">
        <v>500</v>
      </c>
      <c r="M715" s="5">
        <f>K715 * L715</f>
        <v>500</v>
      </c>
      <c r="N715" s="5">
        <f>M715 * $Q$4</f>
        <v>7.5</v>
      </c>
      <c r="O715" s="5">
        <f>M715* $Q$5</f>
        <v>10</v>
      </c>
    </row>
    <row r="716" spans="1:15">
      <c r="A716" s="2">
        <v>715</v>
      </c>
      <c r="B716" s="4">
        <f t="shared" si="33"/>
        <v>26</v>
      </c>
      <c r="C716" s="4">
        <f t="shared" si="34"/>
        <v>11</v>
      </c>
      <c r="D716" s="4">
        <f t="shared" si="35"/>
        <v>2023</v>
      </c>
      <c r="E716" s="3">
        <v>45256</v>
      </c>
      <c r="F716" s="4" t="s">
        <v>741</v>
      </c>
      <c r="G716" s="4" t="s">
        <v>19</v>
      </c>
      <c r="H716" s="4" t="str" cm="1">
        <f t="array" ref="H716">_xlfn.IFS(I716&lt;30, "Young Adult", I716&gt;=50, "Senior", I716&gt;=30, "Adult")</f>
        <v>Adult</v>
      </c>
      <c r="I716" s="4">
        <v>42</v>
      </c>
      <c r="J716" s="4" t="s">
        <v>17</v>
      </c>
      <c r="K716" s="4">
        <v>4</v>
      </c>
      <c r="L716" s="5">
        <v>25</v>
      </c>
      <c r="M716" s="5">
        <f>K716 * L716</f>
        <v>100</v>
      </c>
      <c r="N716" s="5">
        <f>M716 * $Q$4</f>
        <v>1.5</v>
      </c>
      <c r="O716" s="5">
        <f>M716* $Q$5</f>
        <v>2</v>
      </c>
    </row>
    <row r="717" spans="1:15">
      <c r="A717" s="2">
        <v>716</v>
      </c>
      <c r="B717" s="4">
        <f t="shared" si="33"/>
        <v>8</v>
      </c>
      <c r="C717" s="4">
        <f t="shared" si="34"/>
        <v>8</v>
      </c>
      <c r="D717" s="4">
        <f t="shared" si="35"/>
        <v>2023</v>
      </c>
      <c r="E717" s="3">
        <v>45146</v>
      </c>
      <c r="F717" s="4" t="s">
        <v>742</v>
      </c>
      <c r="G717" s="4" t="s">
        <v>19</v>
      </c>
      <c r="H717" s="4" t="str" cm="1">
        <f t="array" ref="H717">_xlfn.IFS(I717&lt;30, "Young Adult", I717&gt;=50, "Senior", I717&gt;=30, "Adult")</f>
        <v>Senior</v>
      </c>
      <c r="I717" s="4">
        <v>60</v>
      </c>
      <c r="J717" s="4" t="s">
        <v>20</v>
      </c>
      <c r="K717" s="4">
        <v>4</v>
      </c>
      <c r="L717" s="5">
        <v>300</v>
      </c>
      <c r="M717" s="5">
        <f>K717 * L717</f>
        <v>1200</v>
      </c>
      <c r="N717" s="5">
        <f>M717 * $Q$4</f>
        <v>18</v>
      </c>
      <c r="O717" s="5">
        <f>M717* $Q$5</f>
        <v>24</v>
      </c>
    </row>
    <row r="718" spans="1:15">
      <c r="A718" s="2">
        <v>717</v>
      </c>
      <c r="B718" s="4">
        <f t="shared" si="33"/>
        <v>11</v>
      </c>
      <c r="C718" s="4">
        <f t="shared" si="34"/>
        <v>3</v>
      </c>
      <c r="D718" s="4">
        <f t="shared" si="35"/>
        <v>2023</v>
      </c>
      <c r="E718" s="3">
        <v>44996</v>
      </c>
      <c r="F718" s="4" t="s">
        <v>743</v>
      </c>
      <c r="G718" s="4" t="s">
        <v>16</v>
      </c>
      <c r="H718" s="4" t="str" cm="1">
        <f t="array" ref="H718">_xlfn.IFS(I718&lt;30, "Young Adult", I718&gt;=50, "Senior", I718&gt;=30, "Adult")</f>
        <v>Senior</v>
      </c>
      <c r="I718" s="4">
        <v>57</v>
      </c>
      <c r="J718" s="4" t="s">
        <v>20</v>
      </c>
      <c r="K718" s="4">
        <v>1</v>
      </c>
      <c r="L718" s="5">
        <v>500</v>
      </c>
      <c r="M718" s="5">
        <f>K718 * L718</f>
        <v>500</v>
      </c>
      <c r="N718" s="5">
        <f>M718 * $Q$4</f>
        <v>7.5</v>
      </c>
      <c r="O718" s="5">
        <f>M718* $Q$5</f>
        <v>10</v>
      </c>
    </row>
    <row r="719" spans="1:15">
      <c r="A719" s="2">
        <v>718</v>
      </c>
      <c r="B719" s="4">
        <f t="shared" si="33"/>
        <v>25</v>
      </c>
      <c r="C719" s="4">
        <f t="shared" si="34"/>
        <v>8</v>
      </c>
      <c r="D719" s="4">
        <f t="shared" si="35"/>
        <v>2023</v>
      </c>
      <c r="E719" s="3">
        <v>45163</v>
      </c>
      <c r="F719" s="4" t="s">
        <v>744</v>
      </c>
      <c r="G719" s="4" t="s">
        <v>19</v>
      </c>
      <c r="H719" s="4" t="str" cm="1">
        <f t="array" ref="H719">_xlfn.IFS(I719&lt;30, "Young Adult", I719&gt;=50, "Senior", I719&gt;=30, "Adult")</f>
        <v>Senior</v>
      </c>
      <c r="I719" s="4">
        <v>59</v>
      </c>
      <c r="J719" s="4" t="s">
        <v>17</v>
      </c>
      <c r="K719" s="4">
        <v>3</v>
      </c>
      <c r="L719" s="5">
        <v>25</v>
      </c>
      <c r="M719" s="5">
        <f>K719 * L719</f>
        <v>75</v>
      </c>
      <c r="N719" s="5">
        <f>M719 * $Q$4</f>
        <v>1.125</v>
      </c>
      <c r="O719" s="5">
        <f>M719* $Q$5</f>
        <v>1.5</v>
      </c>
    </row>
    <row r="720" spans="1:15">
      <c r="A720" s="2">
        <v>719</v>
      </c>
      <c r="B720" s="4">
        <f t="shared" si="33"/>
        <v>4</v>
      </c>
      <c r="C720" s="4">
        <f t="shared" si="34"/>
        <v>4</v>
      </c>
      <c r="D720" s="4">
        <f t="shared" si="35"/>
        <v>2023</v>
      </c>
      <c r="E720" s="3">
        <v>45020</v>
      </c>
      <c r="F720" s="4" t="s">
        <v>745</v>
      </c>
      <c r="G720" s="4" t="s">
        <v>19</v>
      </c>
      <c r="H720" s="4" t="str" cm="1">
        <f t="array" ref="H720">_xlfn.IFS(I720&lt;30, "Young Adult", I720&gt;=50, "Senior", I720&gt;=30, "Adult")</f>
        <v>Adult</v>
      </c>
      <c r="I720" s="4">
        <v>42</v>
      </c>
      <c r="J720" s="4" t="s">
        <v>20</v>
      </c>
      <c r="K720" s="4">
        <v>2</v>
      </c>
      <c r="L720" s="5">
        <v>30</v>
      </c>
      <c r="M720" s="5">
        <f>K720 * L720</f>
        <v>60</v>
      </c>
      <c r="N720" s="5">
        <f>M720 * $Q$4</f>
        <v>0.89999999999999991</v>
      </c>
      <c r="O720" s="5">
        <f>M720* $Q$5</f>
        <v>1.2</v>
      </c>
    </row>
    <row r="721" spans="1:15">
      <c r="A721" s="2">
        <v>720</v>
      </c>
      <c r="B721" s="4">
        <f t="shared" si="33"/>
        <v>26</v>
      </c>
      <c r="C721" s="4">
        <f t="shared" si="34"/>
        <v>1</v>
      </c>
      <c r="D721" s="4">
        <f t="shared" si="35"/>
        <v>2023</v>
      </c>
      <c r="E721" s="3">
        <v>44952</v>
      </c>
      <c r="F721" s="4" t="s">
        <v>746</v>
      </c>
      <c r="G721" s="4" t="s">
        <v>19</v>
      </c>
      <c r="H721" s="4" t="str" cm="1">
        <f t="array" ref="H721">_xlfn.IFS(I721&lt;30, "Young Adult", I721&gt;=50, "Senior", I721&gt;=30, "Adult")</f>
        <v>Senior</v>
      </c>
      <c r="I721" s="4">
        <v>56</v>
      </c>
      <c r="J721" s="4" t="s">
        <v>17</v>
      </c>
      <c r="K721" s="4">
        <v>3</v>
      </c>
      <c r="L721" s="5">
        <v>500</v>
      </c>
      <c r="M721" s="5">
        <f>K721 * L721</f>
        <v>1500</v>
      </c>
      <c r="N721" s="5">
        <f>M721 * $Q$4</f>
        <v>22.5</v>
      </c>
      <c r="O721" s="5">
        <f>M721* $Q$5</f>
        <v>30</v>
      </c>
    </row>
    <row r="722" spans="1:15">
      <c r="A722" s="2">
        <v>721</v>
      </c>
      <c r="B722" s="4">
        <f t="shared" si="33"/>
        <v>14</v>
      </c>
      <c r="C722" s="4">
        <f t="shared" si="34"/>
        <v>5</v>
      </c>
      <c r="D722" s="4">
        <f t="shared" si="35"/>
        <v>2023</v>
      </c>
      <c r="E722" s="3">
        <v>45060</v>
      </c>
      <c r="F722" s="4" t="s">
        <v>747</v>
      </c>
      <c r="G722" s="4" t="s">
        <v>19</v>
      </c>
      <c r="H722" s="4" t="str" cm="1">
        <f t="array" ref="H722">_xlfn.IFS(I722&lt;30, "Young Adult", I722&gt;=50, "Senior", I722&gt;=30, "Adult")</f>
        <v>Senior</v>
      </c>
      <c r="I722" s="4">
        <v>52</v>
      </c>
      <c r="J722" s="4" t="s">
        <v>20</v>
      </c>
      <c r="K722" s="4">
        <v>1</v>
      </c>
      <c r="L722" s="5">
        <v>500</v>
      </c>
      <c r="M722" s="5">
        <f>K722 * L722</f>
        <v>500</v>
      </c>
      <c r="N722" s="5">
        <f>M722 * $Q$4</f>
        <v>7.5</v>
      </c>
      <c r="O722" s="5">
        <f>M722* $Q$5</f>
        <v>10</v>
      </c>
    </row>
    <row r="723" spans="1:15">
      <c r="A723" s="2">
        <v>722</v>
      </c>
      <c r="B723" s="4">
        <f t="shared" si="33"/>
        <v>14</v>
      </c>
      <c r="C723" s="4">
        <f t="shared" si="34"/>
        <v>7</v>
      </c>
      <c r="D723" s="4">
        <f t="shared" si="35"/>
        <v>2023</v>
      </c>
      <c r="E723" s="3">
        <v>45121</v>
      </c>
      <c r="F723" s="4" t="s">
        <v>748</v>
      </c>
      <c r="G723" s="4" t="s">
        <v>16</v>
      </c>
      <c r="H723" s="4" t="str" cm="1">
        <f t="array" ref="H723">_xlfn.IFS(I723&lt;30, "Young Adult", I723&gt;=50, "Senior", I723&gt;=30, "Adult")</f>
        <v>Young Adult</v>
      </c>
      <c r="I723" s="4">
        <v>20</v>
      </c>
      <c r="J723" s="4" t="s">
        <v>17</v>
      </c>
      <c r="K723" s="4">
        <v>3</v>
      </c>
      <c r="L723" s="5">
        <v>300</v>
      </c>
      <c r="M723" s="5">
        <f>K723 * L723</f>
        <v>900</v>
      </c>
      <c r="N723" s="5">
        <f>M723 * $Q$4</f>
        <v>13.5</v>
      </c>
      <c r="O723" s="5">
        <f>M723* $Q$5</f>
        <v>18</v>
      </c>
    </row>
    <row r="724" spans="1:15">
      <c r="A724" s="2">
        <v>723</v>
      </c>
      <c r="B724" s="4">
        <f t="shared" si="33"/>
        <v>17</v>
      </c>
      <c r="C724" s="4">
        <f t="shared" si="34"/>
        <v>6</v>
      </c>
      <c r="D724" s="4">
        <f t="shared" si="35"/>
        <v>2023</v>
      </c>
      <c r="E724" s="3">
        <v>45094</v>
      </c>
      <c r="F724" s="4" t="s">
        <v>749</v>
      </c>
      <c r="G724" s="4" t="s">
        <v>19</v>
      </c>
      <c r="H724" s="4" t="str" cm="1">
        <f t="array" ref="H724">_xlfn.IFS(I724&lt;30, "Young Adult", I724&gt;=50, "Senior", I724&gt;=30, "Adult")</f>
        <v>Senior</v>
      </c>
      <c r="I724" s="4">
        <v>54</v>
      </c>
      <c r="J724" s="4" t="s">
        <v>17</v>
      </c>
      <c r="K724" s="4">
        <v>4</v>
      </c>
      <c r="L724" s="5">
        <v>50</v>
      </c>
      <c r="M724" s="5">
        <f>K724 * L724</f>
        <v>200</v>
      </c>
      <c r="N724" s="5">
        <f>M724 * $Q$4</f>
        <v>3</v>
      </c>
      <c r="O724" s="5">
        <f>M724* $Q$5</f>
        <v>4</v>
      </c>
    </row>
    <row r="725" spans="1:15">
      <c r="A725" s="2">
        <v>724</v>
      </c>
      <c r="B725" s="4">
        <f t="shared" si="33"/>
        <v>19</v>
      </c>
      <c r="C725" s="4">
        <f t="shared" si="34"/>
        <v>4</v>
      </c>
      <c r="D725" s="4">
        <f t="shared" si="35"/>
        <v>2023</v>
      </c>
      <c r="E725" s="3">
        <v>45035</v>
      </c>
      <c r="F725" s="4" t="s">
        <v>750</v>
      </c>
      <c r="G725" s="4" t="s">
        <v>16</v>
      </c>
      <c r="H725" s="4" t="str" cm="1">
        <f t="array" ref="H725">_xlfn.IFS(I725&lt;30, "Young Adult", I725&gt;=50, "Senior", I725&gt;=30, "Adult")</f>
        <v>Senior</v>
      </c>
      <c r="I725" s="4">
        <v>61</v>
      </c>
      <c r="J725" s="4" t="s">
        <v>20</v>
      </c>
      <c r="K725" s="4">
        <v>3</v>
      </c>
      <c r="L725" s="5">
        <v>50</v>
      </c>
      <c r="M725" s="5">
        <f>K725 * L725</f>
        <v>150</v>
      </c>
      <c r="N725" s="5">
        <f>M725 * $Q$4</f>
        <v>2.25</v>
      </c>
      <c r="O725" s="5">
        <f>M725* $Q$5</f>
        <v>3</v>
      </c>
    </row>
    <row r="726" spans="1:15">
      <c r="A726" s="2">
        <v>725</v>
      </c>
      <c r="B726" s="4">
        <f t="shared" si="33"/>
        <v>21</v>
      </c>
      <c r="C726" s="4">
        <f t="shared" si="34"/>
        <v>8</v>
      </c>
      <c r="D726" s="4">
        <f t="shared" si="35"/>
        <v>2023</v>
      </c>
      <c r="E726" s="3">
        <v>45159</v>
      </c>
      <c r="F726" s="4" t="s">
        <v>751</v>
      </c>
      <c r="G726" s="4" t="s">
        <v>16</v>
      </c>
      <c r="H726" s="4" t="str" cm="1">
        <f t="array" ref="H726">_xlfn.IFS(I726&lt;30, "Young Adult", I726&gt;=50, "Senior", I726&gt;=30, "Adult")</f>
        <v>Senior</v>
      </c>
      <c r="I726" s="4">
        <v>61</v>
      </c>
      <c r="J726" s="4" t="s">
        <v>24</v>
      </c>
      <c r="K726" s="4">
        <v>1</v>
      </c>
      <c r="L726" s="5">
        <v>300</v>
      </c>
      <c r="M726" s="5">
        <f>K726 * L726</f>
        <v>300</v>
      </c>
      <c r="N726" s="5">
        <f>M726 * $Q$4</f>
        <v>4.5</v>
      </c>
      <c r="O726" s="5">
        <f>M726* $Q$5</f>
        <v>6</v>
      </c>
    </row>
    <row r="727" spans="1:15">
      <c r="A727" s="2">
        <v>726</v>
      </c>
      <c r="B727" s="4">
        <f t="shared" si="33"/>
        <v>17</v>
      </c>
      <c r="C727" s="4">
        <f t="shared" si="34"/>
        <v>6</v>
      </c>
      <c r="D727" s="4">
        <f t="shared" si="35"/>
        <v>2023</v>
      </c>
      <c r="E727" s="3">
        <v>45094</v>
      </c>
      <c r="F727" s="4" t="s">
        <v>752</v>
      </c>
      <c r="G727" s="4" t="s">
        <v>16</v>
      </c>
      <c r="H727" s="4" t="str" cm="1">
        <f t="array" ref="H727">_xlfn.IFS(I727&lt;30, "Young Adult", I727&gt;=50, "Senior", I727&gt;=30, "Adult")</f>
        <v>Adult</v>
      </c>
      <c r="I727" s="4">
        <v>47</v>
      </c>
      <c r="J727" s="4" t="s">
        <v>20</v>
      </c>
      <c r="K727" s="4">
        <v>4</v>
      </c>
      <c r="L727" s="5">
        <v>300</v>
      </c>
      <c r="M727" s="5">
        <f>K727 * L727</f>
        <v>1200</v>
      </c>
      <c r="N727" s="5">
        <f>M727 * $Q$4</f>
        <v>18</v>
      </c>
      <c r="O727" s="5">
        <f>M727* $Q$5</f>
        <v>24</v>
      </c>
    </row>
    <row r="728" spans="1:15">
      <c r="A728" s="2">
        <v>727</v>
      </c>
      <c r="B728" s="4">
        <f t="shared" si="33"/>
        <v>22</v>
      </c>
      <c r="C728" s="4">
        <f t="shared" si="34"/>
        <v>6</v>
      </c>
      <c r="D728" s="4">
        <f t="shared" si="35"/>
        <v>2023</v>
      </c>
      <c r="E728" s="3">
        <v>45099</v>
      </c>
      <c r="F728" s="4" t="s">
        <v>753</v>
      </c>
      <c r="G728" s="4" t="s">
        <v>16</v>
      </c>
      <c r="H728" s="4" t="str" cm="1">
        <f t="array" ref="H728">_xlfn.IFS(I728&lt;30, "Young Adult", I728&gt;=50, "Senior", I728&gt;=30, "Adult")</f>
        <v>Senior</v>
      </c>
      <c r="I728" s="4">
        <v>55</v>
      </c>
      <c r="J728" s="4" t="s">
        <v>17</v>
      </c>
      <c r="K728" s="4">
        <v>3</v>
      </c>
      <c r="L728" s="5">
        <v>300</v>
      </c>
      <c r="M728" s="5">
        <f>K728 * L728</f>
        <v>900</v>
      </c>
      <c r="N728" s="5">
        <f>M728 * $Q$4</f>
        <v>13.5</v>
      </c>
      <c r="O728" s="5">
        <f>M728* $Q$5</f>
        <v>18</v>
      </c>
    </row>
    <row r="729" spans="1:15">
      <c r="A729" s="2">
        <v>728</v>
      </c>
      <c r="B729" s="4">
        <f t="shared" si="33"/>
        <v>14</v>
      </c>
      <c r="C729" s="4">
        <f t="shared" si="34"/>
        <v>7</v>
      </c>
      <c r="D729" s="4">
        <f t="shared" si="35"/>
        <v>2023</v>
      </c>
      <c r="E729" s="3">
        <v>45121</v>
      </c>
      <c r="F729" s="4" t="s">
        <v>754</v>
      </c>
      <c r="G729" s="4" t="s">
        <v>16</v>
      </c>
      <c r="H729" s="4" t="str" cm="1">
        <f t="array" ref="H729">_xlfn.IFS(I729&lt;30, "Young Adult", I729&gt;=50, "Senior", I729&gt;=30, "Adult")</f>
        <v>Senior</v>
      </c>
      <c r="I729" s="4">
        <v>51</v>
      </c>
      <c r="J729" s="4" t="s">
        <v>24</v>
      </c>
      <c r="K729" s="4">
        <v>3</v>
      </c>
      <c r="L729" s="5">
        <v>50</v>
      </c>
      <c r="M729" s="5">
        <f>K729 * L729</f>
        <v>150</v>
      </c>
      <c r="N729" s="5">
        <f>M729 * $Q$4</f>
        <v>2.25</v>
      </c>
      <c r="O729" s="5">
        <f>M729* $Q$5</f>
        <v>3</v>
      </c>
    </row>
    <row r="730" spans="1:15">
      <c r="A730" s="2">
        <v>729</v>
      </c>
      <c r="B730" s="4">
        <f t="shared" si="33"/>
        <v>23</v>
      </c>
      <c r="C730" s="4">
        <f t="shared" si="34"/>
        <v>5</v>
      </c>
      <c r="D730" s="4">
        <f t="shared" si="35"/>
        <v>2023</v>
      </c>
      <c r="E730" s="3">
        <v>45069</v>
      </c>
      <c r="F730" s="4" t="s">
        <v>755</v>
      </c>
      <c r="G730" s="4" t="s">
        <v>16</v>
      </c>
      <c r="H730" s="4" t="str" cm="1">
        <f t="array" ref="H730">_xlfn.IFS(I730&lt;30, "Young Adult", I730&gt;=50, "Senior", I730&gt;=30, "Adult")</f>
        <v>Young Adult</v>
      </c>
      <c r="I730" s="4">
        <v>29</v>
      </c>
      <c r="J730" s="4" t="s">
        <v>20</v>
      </c>
      <c r="K730" s="4">
        <v>4</v>
      </c>
      <c r="L730" s="5">
        <v>300</v>
      </c>
      <c r="M730" s="5">
        <f>K730 * L730</f>
        <v>1200</v>
      </c>
      <c r="N730" s="5">
        <f>M730 * $Q$4</f>
        <v>18</v>
      </c>
      <c r="O730" s="5">
        <f>M730* $Q$5</f>
        <v>24</v>
      </c>
    </row>
    <row r="731" spans="1:15">
      <c r="A731" s="2">
        <v>730</v>
      </c>
      <c r="B731" s="4">
        <f t="shared" si="33"/>
        <v>4</v>
      </c>
      <c r="C731" s="4">
        <f t="shared" si="34"/>
        <v>8</v>
      </c>
      <c r="D731" s="4">
        <f t="shared" si="35"/>
        <v>2023</v>
      </c>
      <c r="E731" s="3">
        <v>45142</v>
      </c>
      <c r="F731" s="4" t="s">
        <v>756</v>
      </c>
      <c r="G731" s="4" t="s">
        <v>19</v>
      </c>
      <c r="H731" s="4" t="str" cm="1">
        <f t="array" ref="H731">_xlfn.IFS(I731&lt;30, "Young Adult", I731&gt;=50, "Senior", I731&gt;=30, "Adult")</f>
        <v>Adult</v>
      </c>
      <c r="I731" s="4">
        <v>36</v>
      </c>
      <c r="J731" s="4" t="s">
        <v>20</v>
      </c>
      <c r="K731" s="4">
        <v>2</v>
      </c>
      <c r="L731" s="5">
        <v>25</v>
      </c>
      <c r="M731" s="5">
        <f>K731 * L731</f>
        <v>50</v>
      </c>
      <c r="N731" s="5">
        <f>M731 * $Q$4</f>
        <v>0.75</v>
      </c>
      <c r="O731" s="5">
        <f>M731* $Q$5</f>
        <v>1</v>
      </c>
    </row>
    <row r="732" spans="1:15">
      <c r="A732" s="2">
        <v>731</v>
      </c>
      <c r="B732" s="4">
        <f t="shared" si="33"/>
        <v>10</v>
      </c>
      <c r="C732" s="4">
        <f t="shared" si="34"/>
        <v>5</v>
      </c>
      <c r="D732" s="4">
        <f t="shared" si="35"/>
        <v>2023</v>
      </c>
      <c r="E732" s="3">
        <v>45056</v>
      </c>
      <c r="F732" s="4" t="s">
        <v>757</v>
      </c>
      <c r="G732" s="4" t="s">
        <v>16</v>
      </c>
      <c r="H732" s="4" t="str" cm="1">
        <f t="array" ref="H732">_xlfn.IFS(I732&lt;30, "Young Adult", I732&gt;=50, "Senior", I732&gt;=30, "Adult")</f>
        <v>Senior</v>
      </c>
      <c r="I732" s="4">
        <v>54</v>
      </c>
      <c r="J732" s="4" t="s">
        <v>20</v>
      </c>
      <c r="K732" s="4">
        <v>4</v>
      </c>
      <c r="L732" s="5">
        <v>500</v>
      </c>
      <c r="M732" s="5">
        <f>K732 * L732</f>
        <v>2000</v>
      </c>
      <c r="N732" s="5">
        <f>M732 * $Q$4</f>
        <v>30</v>
      </c>
      <c r="O732" s="5">
        <f>M732* $Q$5</f>
        <v>40</v>
      </c>
    </row>
    <row r="733" spans="1:15">
      <c r="A733" s="2">
        <v>732</v>
      </c>
      <c r="B733" s="4">
        <f t="shared" si="33"/>
        <v>11</v>
      </c>
      <c r="C733" s="4">
        <f t="shared" si="34"/>
        <v>2</v>
      </c>
      <c r="D733" s="4">
        <f t="shared" si="35"/>
        <v>2023</v>
      </c>
      <c r="E733" s="3">
        <v>44968</v>
      </c>
      <c r="F733" s="4" t="s">
        <v>758</v>
      </c>
      <c r="G733" s="4" t="s">
        <v>16</v>
      </c>
      <c r="H733" s="4" t="str" cm="1">
        <f t="array" ref="H733">_xlfn.IFS(I733&lt;30, "Young Adult", I733&gt;=50, "Senior", I733&gt;=30, "Adult")</f>
        <v>Senior</v>
      </c>
      <c r="I733" s="4">
        <v>61</v>
      </c>
      <c r="J733" s="4" t="s">
        <v>24</v>
      </c>
      <c r="K733" s="4">
        <v>2</v>
      </c>
      <c r="L733" s="5">
        <v>500</v>
      </c>
      <c r="M733" s="5">
        <f>K733 * L733</f>
        <v>1000</v>
      </c>
      <c r="N733" s="5">
        <f>M733 * $Q$4</f>
        <v>15</v>
      </c>
      <c r="O733" s="5">
        <f>M733* $Q$5</f>
        <v>20</v>
      </c>
    </row>
    <row r="734" spans="1:15">
      <c r="A734" s="2">
        <v>733</v>
      </c>
      <c r="B734" s="4">
        <f t="shared" si="33"/>
        <v>29</v>
      </c>
      <c r="C734" s="4">
        <f t="shared" si="34"/>
        <v>8</v>
      </c>
      <c r="D734" s="4">
        <f t="shared" si="35"/>
        <v>2023</v>
      </c>
      <c r="E734" s="3">
        <v>45167</v>
      </c>
      <c r="F734" s="4" t="s">
        <v>759</v>
      </c>
      <c r="G734" s="4" t="s">
        <v>16</v>
      </c>
      <c r="H734" s="4" t="str" cm="1">
        <f t="array" ref="H734">_xlfn.IFS(I734&lt;30, "Young Adult", I734&gt;=50, "Senior", I734&gt;=30, "Adult")</f>
        <v>Adult</v>
      </c>
      <c r="I734" s="4">
        <v>34</v>
      </c>
      <c r="J734" s="4" t="s">
        <v>17</v>
      </c>
      <c r="K734" s="4">
        <v>1</v>
      </c>
      <c r="L734" s="5">
        <v>30</v>
      </c>
      <c r="M734" s="5">
        <f>K734 * L734</f>
        <v>30</v>
      </c>
      <c r="N734" s="5">
        <f>M734 * $Q$4</f>
        <v>0.44999999999999996</v>
      </c>
      <c r="O734" s="5">
        <f>M734* $Q$5</f>
        <v>0.6</v>
      </c>
    </row>
    <row r="735" spans="1:15">
      <c r="A735" s="2">
        <v>734</v>
      </c>
      <c r="B735" s="4">
        <f t="shared" si="33"/>
        <v>10</v>
      </c>
      <c r="C735" s="4">
        <f t="shared" si="34"/>
        <v>1</v>
      </c>
      <c r="D735" s="4">
        <f t="shared" si="35"/>
        <v>2023</v>
      </c>
      <c r="E735" s="3">
        <v>44936</v>
      </c>
      <c r="F735" s="4" t="s">
        <v>760</v>
      </c>
      <c r="G735" s="4" t="s">
        <v>19</v>
      </c>
      <c r="H735" s="4" t="str" cm="1">
        <f t="array" ref="H735">_xlfn.IFS(I735&lt;30, "Young Adult", I735&gt;=50, "Senior", I735&gt;=30, "Adult")</f>
        <v>Young Adult</v>
      </c>
      <c r="I735" s="4">
        <v>27</v>
      </c>
      <c r="J735" s="4" t="s">
        <v>20</v>
      </c>
      <c r="K735" s="4">
        <v>1</v>
      </c>
      <c r="L735" s="5">
        <v>30</v>
      </c>
      <c r="M735" s="5">
        <f>K735 * L735</f>
        <v>30</v>
      </c>
      <c r="N735" s="5">
        <f>M735 * $Q$4</f>
        <v>0.44999999999999996</v>
      </c>
      <c r="O735" s="5">
        <f>M735* $Q$5</f>
        <v>0.6</v>
      </c>
    </row>
    <row r="736" spans="1:15">
      <c r="A736" s="2">
        <v>735</v>
      </c>
      <c r="B736" s="4">
        <f t="shared" si="33"/>
        <v>4</v>
      </c>
      <c r="C736" s="4">
        <f t="shared" si="34"/>
        <v>10</v>
      </c>
      <c r="D736" s="4">
        <f t="shared" si="35"/>
        <v>2023</v>
      </c>
      <c r="E736" s="3">
        <v>45203</v>
      </c>
      <c r="F736" s="4" t="s">
        <v>761</v>
      </c>
      <c r="G736" s="4" t="s">
        <v>19</v>
      </c>
      <c r="H736" s="4" t="str" cm="1">
        <f t="array" ref="H736">_xlfn.IFS(I736&lt;30, "Young Adult", I736&gt;=50, "Senior", I736&gt;=30, "Adult")</f>
        <v>Senior</v>
      </c>
      <c r="I736" s="4">
        <v>64</v>
      </c>
      <c r="J736" s="4" t="s">
        <v>20</v>
      </c>
      <c r="K736" s="4">
        <v>4</v>
      </c>
      <c r="L736" s="5">
        <v>500</v>
      </c>
      <c r="M736" s="5">
        <f>K736 * L736</f>
        <v>2000</v>
      </c>
      <c r="N736" s="5">
        <f>M736 * $Q$4</f>
        <v>30</v>
      </c>
      <c r="O736" s="5">
        <f>M736* $Q$5</f>
        <v>40</v>
      </c>
    </row>
    <row r="737" spans="1:15">
      <c r="A737" s="2">
        <v>736</v>
      </c>
      <c r="B737" s="4">
        <f t="shared" si="33"/>
        <v>27</v>
      </c>
      <c r="C737" s="4">
        <f t="shared" si="34"/>
        <v>1</v>
      </c>
      <c r="D737" s="4">
        <f t="shared" si="35"/>
        <v>2023</v>
      </c>
      <c r="E737" s="3">
        <v>44953</v>
      </c>
      <c r="F737" s="4" t="s">
        <v>762</v>
      </c>
      <c r="G737" s="4" t="s">
        <v>16</v>
      </c>
      <c r="H737" s="4" t="str" cm="1">
        <f t="array" ref="H737">_xlfn.IFS(I737&lt;30, "Young Adult", I737&gt;=50, "Senior", I737&gt;=30, "Adult")</f>
        <v>Young Adult</v>
      </c>
      <c r="I737" s="4">
        <v>29</v>
      </c>
      <c r="J737" s="4" t="s">
        <v>20</v>
      </c>
      <c r="K737" s="4">
        <v>4</v>
      </c>
      <c r="L737" s="5">
        <v>25</v>
      </c>
      <c r="M737" s="5">
        <f>K737 * L737</f>
        <v>100</v>
      </c>
      <c r="N737" s="5">
        <f>M737 * $Q$4</f>
        <v>1.5</v>
      </c>
      <c r="O737" s="5">
        <f>M737* $Q$5</f>
        <v>2</v>
      </c>
    </row>
    <row r="738" spans="1:15">
      <c r="A738" s="2">
        <v>737</v>
      </c>
      <c r="B738" s="4">
        <f t="shared" si="33"/>
        <v>29</v>
      </c>
      <c r="C738" s="4">
        <f t="shared" si="34"/>
        <v>6</v>
      </c>
      <c r="D738" s="4">
        <f t="shared" si="35"/>
        <v>2023</v>
      </c>
      <c r="E738" s="3">
        <v>45106</v>
      </c>
      <c r="F738" s="4" t="s">
        <v>763</v>
      </c>
      <c r="G738" s="4" t="s">
        <v>19</v>
      </c>
      <c r="H738" s="4" t="str" cm="1">
        <f t="array" ref="H738">_xlfn.IFS(I738&lt;30, "Young Adult", I738&gt;=50, "Senior", I738&gt;=30, "Adult")</f>
        <v>Adult</v>
      </c>
      <c r="I738" s="4">
        <v>33</v>
      </c>
      <c r="J738" s="4" t="s">
        <v>20</v>
      </c>
      <c r="K738" s="4">
        <v>1</v>
      </c>
      <c r="L738" s="5">
        <v>50</v>
      </c>
      <c r="M738" s="5">
        <f>K738 * L738</f>
        <v>50</v>
      </c>
      <c r="N738" s="5">
        <f>M738 * $Q$4</f>
        <v>0.75</v>
      </c>
      <c r="O738" s="5">
        <f>M738* $Q$5</f>
        <v>1</v>
      </c>
    </row>
    <row r="739" spans="1:15">
      <c r="A739" s="2">
        <v>738</v>
      </c>
      <c r="B739" s="4">
        <f t="shared" si="33"/>
        <v>25</v>
      </c>
      <c r="C739" s="4">
        <f t="shared" si="34"/>
        <v>4</v>
      </c>
      <c r="D739" s="4">
        <f t="shared" si="35"/>
        <v>2023</v>
      </c>
      <c r="E739" s="3">
        <v>45041</v>
      </c>
      <c r="F739" s="4" t="s">
        <v>764</v>
      </c>
      <c r="G739" s="4" t="s">
        <v>16</v>
      </c>
      <c r="H739" s="4" t="str" cm="1">
        <f t="array" ref="H739">_xlfn.IFS(I739&lt;30, "Young Adult", I739&gt;=50, "Senior", I739&gt;=30, "Adult")</f>
        <v>Adult</v>
      </c>
      <c r="I739" s="4">
        <v>41</v>
      </c>
      <c r="J739" s="4" t="s">
        <v>20</v>
      </c>
      <c r="K739" s="4">
        <v>2</v>
      </c>
      <c r="L739" s="5">
        <v>50</v>
      </c>
      <c r="M739" s="5">
        <f>K739 * L739</f>
        <v>100</v>
      </c>
      <c r="N739" s="5">
        <f>M739 * $Q$4</f>
        <v>1.5</v>
      </c>
      <c r="O739" s="5">
        <f>M739* $Q$5</f>
        <v>2</v>
      </c>
    </row>
    <row r="740" spans="1:15">
      <c r="A740" s="2">
        <v>739</v>
      </c>
      <c r="B740" s="4">
        <f t="shared" si="33"/>
        <v>29</v>
      </c>
      <c r="C740" s="4">
        <f t="shared" si="34"/>
        <v>11</v>
      </c>
      <c r="D740" s="4">
        <f t="shared" si="35"/>
        <v>2023</v>
      </c>
      <c r="E740" s="3">
        <v>45259</v>
      </c>
      <c r="F740" s="4" t="s">
        <v>765</v>
      </c>
      <c r="G740" s="4" t="s">
        <v>16</v>
      </c>
      <c r="H740" s="4" t="str" cm="1">
        <f t="array" ref="H740">_xlfn.IFS(I740&lt;30, "Young Adult", I740&gt;=50, "Senior", I740&gt;=30, "Adult")</f>
        <v>Adult</v>
      </c>
      <c r="I740" s="4">
        <v>36</v>
      </c>
      <c r="J740" s="4" t="s">
        <v>17</v>
      </c>
      <c r="K740" s="4">
        <v>1</v>
      </c>
      <c r="L740" s="5">
        <v>25</v>
      </c>
      <c r="M740" s="5">
        <f>K740 * L740</f>
        <v>25</v>
      </c>
      <c r="N740" s="5">
        <f>M740 * $Q$4</f>
        <v>0.375</v>
      </c>
      <c r="O740" s="5">
        <f>M740* $Q$5</f>
        <v>0.5</v>
      </c>
    </row>
    <row r="741" spans="1:15">
      <c r="A741" s="2">
        <v>740</v>
      </c>
      <c r="B741" s="4">
        <f t="shared" si="33"/>
        <v>5</v>
      </c>
      <c r="C741" s="4">
        <f t="shared" si="34"/>
        <v>2</v>
      </c>
      <c r="D741" s="4">
        <f t="shared" si="35"/>
        <v>2023</v>
      </c>
      <c r="E741" s="3">
        <v>44962</v>
      </c>
      <c r="F741" s="4" t="s">
        <v>766</v>
      </c>
      <c r="G741" s="4" t="s">
        <v>19</v>
      </c>
      <c r="H741" s="4" t="str" cm="1">
        <f t="array" ref="H741">_xlfn.IFS(I741&lt;30, "Young Adult", I741&gt;=50, "Senior", I741&gt;=30, "Adult")</f>
        <v>Young Adult</v>
      </c>
      <c r="I741" s="4">
        <v>25</v>
      </c>
      <c r="J741" s="4" t="s">
        <v>17</v>
      </c>
      <c r="K741" s="4">
        <v>4</v>
      </c>
      <c r="L741" s="5">
        <v>50</v>
      </c>
      <c r="M741" s="5">
        <f>K741 * L741</f>
        <v>200</v>
      </c>
      <c r="N741" s="5">
        <f>M741 * $Q$4</f>
        <v>3</v>
      </c>
      <c r="O741" s="5">
        <f>M741* $Q$5</f>
        <v>4</v>
      </c>
    </row>
    <row r="742" spans="1:15">
      <c r="A742" s="2">
        <v>741</v>
      </c>
      <c r="B742" s="4">
        <f t="shared" si="33"/>
        <v>30</v>
      </c>
      <c r="C742" s="4">
        <f t="shared" si="34"/>
        <v>11</v>
      </c>
      <c r="D742" s="4">
        <f t="shared" si="35"/>
        <v>2023</v>
      </c>
      <c r="E742" s="3">
        <v>45260</v>
      </c>
      <c r="F742" s="4" t="s">
        <v>767</v>
      </c>
      <c r="G742" s="4" t="s">
        <v>16</v>
      </c>
      <c r="H742" s="4" t="str" cm="1">
        <f t="array" ref="H742">_xlfn.IFS(I742&lt;30, "Young Adult", I742&gt;=50, "Senior", I742&gt;=30, "Adult")</f>
        <v>Adult</v>
      </c>
      <c r="I742" s="4">
        <v>48</v>
      </c>
      <c r="J742" s="4" t="s">
        <v>20</v>
      </c>
      <c r="K742" s="4">
        <v>1</v>
      </c>
      <c r="L742" s="5">
        <v>300</v>
      </c>
      <c r="M742" s="5">
        <f>K742 * L742</f>
        <v>300</v>
      </c>
      <c r="N742" s="5">
        <f>M742 * $Q$4</f>
        <v>4.5</v>
      </c>
      <c r="O742" s="5">
        <f>M742* $Q$5</f>
        <v>6</v>
      </c>
    </row>
    <row r="743" spans="1:15">
      <c r="A743" s="2">
        <v>742</v>
      </c>
      <c r="B743" s="4">
        <f t="shared" si="33"/>
        <v>21</v>
      </c>
      <c r="C743" s="4">
        <f t="shared" si="34"/>
        <v>1</v>
      </c>
      <c r="D743" s="4">
        <f t="shared" si="35"/>
        <v>2023</v>
      </c>
      <c r="E743" s="3">
        <v>44947</v>
      </c>
      <c r="F743" s="4" t="s">
        <v>768</v>
      </c>
      <c r="G743" s="4" t="s">
        <v>19</v>
      </c>
      <c r="H743" s="4" t="str" cm="1">
        <f t="array" ref="H743">_xlfn.IFS(I743&lt;30, "Young Adult", I743&gt;=50, "Senior", I743&gt;=30, "Adult")</f>
        <v>Adult</v>
      </c>
      <c r="I743" s="4">
        <v>38</v>
      </c>
      <c r="J743" s="4" t="s">
        <v>24</v>
      </c>
      <c r="K743" s="4">
        <v>4</v>
      </c>
      <c r="L743" s="5">
        <v>500</v>
      </c>
      <c r="M743" s="5">
        <f>K743 * L743</f>
        <v>2000</v>
      </c>
      <c r="N743" s="5">
        <f>M743 * $Q$4</f>
        <v>30</v>
      </c>
      <c r="O743" s="5">
        <f>M743* $Q$5</f>
        <v>40</v>
      </c>
    </row>
    <row r="744" spans="1:15">
      <c r="A744" s="2">
        <v>743</v>
      </c>
      <c r="B744" s="4">
        <f t="shared" si="33"/>
        <v>16</v>
      </c>
      <c r="C744" s="4">
        <f t="shared" si="34"/>
        <v>1</v>
      </c>
      <c r="D744" s="4">
        <f t="shared" si="35"/>
        <v>2023</v>
      </c>
      <c r="E744" s="3">
        <v>44942</v>
      </c>
      <c r="F744" s="4" t="s">
        <v>769</v>
      </c>
      <c r="G744" s="4" t="s">
        <v>19</v>
      </c>
      <c r="H744" s="4" t="str" cm="1">
        <f t="array" ref="H744">_xlfn.IFS(I744&lt;30, "Young Adult", I744&gt;=50, "Senior", I744&gt;=30, "Adult")</f>
        <v>Adult</v>
      </c>
      <c r="I744" s="4">
        <v>34</v>
      </c>
      <c r="J744" s="4" t="s">
        <v>17</v>
      </c>
      <c r="K744" s="4">
        <v>4</v>
      </c>
      <c r="L744" s="5">
        <v>500</v>
      </c>
      <c r="M744" s="5">
        <f>K744 * L744</f>
        <v>2000</v>
      </c>
      <c r="N744" s="5">
        <f>M744 * $Q$4</f>
        <v>30</v>
      </c>
      <c r="O744" s="5">
        <f>M744* $Q$5</f>
        <v>40</v>
      </c>
    </row>
    <row r="745" spans="1:15">
      <c r="A745" s="2">
        <v>744</v>
      </c>
      <c r="B745" s="4">
        <f t="shared" si="33"/>
        <v>7</v>
      </c>
      <c r="C745" s="4">
        <f t="shared" si="34"/>
        <v>5</v>
      </c>
      <c r="D745" s="4">
        <f t="shared" si="35"/>
        <v>2023</v>
      </c>
      <c r="E745" s="3">
        <v>45053</v>
      </c>
      <c r="F745" s="4" t="s">
        <v>770</v>
      </c>
      <c r="G745" s="4" t="s">
        <v>16</v>
      </c>
      <c r="H745" s="4" t="str" cm="1">
        <f t="array" ref="H745">_xlfn.IFS(I745&lt;30, "Young Adult", I745&gt;=50, "Senior", I745&gt;=30, "Adult")</f>
        <v>Adult</v>
      </c>
      <c r="I745" s="4">
        <v>40</v>
      </c>
      <c r="J745" s="4" t="s">
        <v>24</v>
      </c>
      <c r="K745" s="4">
        <v>1</v>
      </c>
      <c r="L745" s="5">
        <v>25</v>
      </c>
      <c r="M745" s="5">
        <f>K745 * L745</f>
        <v>25</v>
      </c>
      <c r="N745" s="5">
        <f>M745 * $Q$4</f>
        <v>0.375</v>
      </c>
      <c r="O745" s="5">
        <f>M745* $Q$5</f>
        <v>0.5</v>
      </c>
    </row>
    <row r="746" spans="1:15">
      <c r="A746" s="2">
        <v>745</v>
      </c>
      <c r="B746" s="4">
        <f t="shared" si="33"/>
        <v>13</v>
      </c>
      <c r="C746" s="4">
        <f t="shared" si="34"/>
        <v>4</v>
      </c>
      <c r="D746" s="4">
        <f t="shared" si="35"/>
        <v>2023</v>
      </c>
      <c r="E746" s="3">
        <v>45029</v>
      </c>
      <c r="F746" s="4" t="s">
        <v>771</v>
      </c>
      <c r="G746" s="4" t="s">
        <v>16</v>
      </c>
      <c r="H746" s="4" t="str" cm="1">
        <f t="array" ref="H746">_xlfn.IFS(I746&lt;30, "Young Adult", I746&gt;=50, "Senior", I746&gt;=30, "Adult")</f>
        <v>Senior</v>
      </c>
      <c r="I746" s="4">
        <v>54</v>
      </c>
      <c r="J746" s="4" t="s">
        <v>17</v>
      </c>
      <c r="K746" s="4">
        <v>2</v>
      </c>
      <c r="L746" s="5">
        <v>50</v>
      </c>
      <c r="M746" s="5">
        <f>K746 * L746</f>
        <v>100</v>
      </c>
      <c r="N746" s="5">
        <f>M746 * $Q$4</f>
        <v>1.5</v>
      </c>
      <c r="O746" s="5">
        <f>M746* $Q$5</f>
        <v>2</v>
      </c>
    </row>
    <row r="747" spans="1:15">
      <c r="A747" s="2">
        <v>746</v>
      </c>
      <c r="B747" s="4">
        <f t="shared" si="33"/>
        <v>11</v>
      </c>
      <c r="C747" s="4">
        <f t="shared" si="34"/>
        <v>1</v>
      </c>
      <c r="D747" s="4">
        <f t="shared" si="35"/>
        <v>2023</v>
      </c>
      <c r="E747" s="3">
        <v>44937</v>
      </c>
      <c r="F747" s="4" t="s">
        <v>772</v>
      </c>
      <c r="G747" s="4" t="s">
        <v>19</v>
      </c>
      <c r="H747" s="4" t="str" cm="1">
        <f t="array" ref="H747">_xlfn.IFS(I747&lt;30, "Young Adult", I747&gt;=50, "Senior", I747&gt;=30, "Adult")</f>
        <v>Adult</v>
      </c>
      <c r="I747" s="4">
        <v>33</v>
      </c>
      <c r="J747" s="4" t="s">
        <v>20</v>
      </c>
      <c r="K747" s="4">
        <v>3</v>
      </c>
      <c r="L747" s="5">
        <v>30</v>
      </c>
      <c r="M747" s="5">
        <f>K747 * L747</f>
        <v>90</v>
      </c>
      <c r="N747" s="5">
        <f>M747 * $Q$4</f>
        <v>1.3499999999999999</v>
      </c>
      <c r="O747" s="5">
        <f>M747* $Q$5</f>
        <v>1.8</v>
      </c>
    </row>
    <row r="748" spans="1:15">
      <c r="A748" s="2">
        <v>747</v>
      </c>
      <c r="B748" s="4">
        <f t="shared" si="33"/>
        <v>15</v>
      </c>
      <c r="C748" s="4">
        <f t="shared" si="34"/>
        <v>11</v>
      </c>
      <c r="D748" s="4">
        <f t="shared" si="35"/>
        <v>2023</v>
      </c>
      <c r="E748" s="3">
        <v>45245</v>
      </c>
      <c r="F748" s="4" t="s">
        <v>773</v>
      </c>
      <c r="G748" s="4" t="s">
        <v>16</v>
      </c>
      <c r="H748" s="4" t="str" cm="1">
        <f t="array" ref="H748">_xlfn.IFS(I748&lt;30, "Young Adult", I748&gt;=50, "Senior", I748&gt;=30, "Adult")</f>
        <v>Young Adult</v>
      </c>
      <c r="I748" s="4">
        <v>23</v>
      </c>
      <c r="J748" s="4" t="s">
        <v>17</v>
      </c>
      <c r="K748" s="4">
        <v>1</v>
      </c>
      <c r="L748" s="5">
        <v>30</v>
      </c>
      <c r="M748" s="5">
        <f>K748 * L748</f>
        <v>30</v>
      </c>
      <c r="N748" s="5">
        <f>M748 * $Q$4</f>
        <v>0.44999999999999996</v>
      </c>
      <c r="O748" s="5">
        <f>M748* $Q$5</f>
        <v>0.6</v>
      </c>
    </row>
    <row r="749" spans="1:15">
      <c r="A749" s="2">
        <v>748</v>
      </c>
      <c r="B749" s="4">
        <f t="shared" si="33"/>
        <v>20</v>
      </c>
      <c r="C749" s="4">
        <f t="shared" si="34"/>
        <v>3</v>
      </c>
      <c r="D749" s="4">
        <f t="shared" si="35"/>
        <v>2023</v>
      </c>
      <c r="E749" s="3">
        <v>45005</v>
      </c>
      <c r="F749" s="4" t="s">
        <v>774</v>
      </c>
      <c r="G749" s="4" t="s">
        <v>16</v>
      </c>
      <c r="H749" s="4" t="str" cm="1">
        <f t="array" ref="H749">_xlfn.IFS(I749&lt;30, "Young Adult", I749&gt;=50, "Senior", I749&gt;=30, "Adult")</f>
        <v>Young Adult</v>
      </c>
      <c r="I749" s="4">
        <v>25</v>
      </c>
      <c r="J749" s="4" t="s">
        <v>20</v>
      </c>
      <c r="K749" s="4">
        <v>3</v>
      </c>
      <c r="L749" s="5">
        <v>50</v>
      </c>
      <c r="M749" s="5">
        <f>K749 * L749</f>
        <v>150</v>
      </c>
      <c r="N749" s="5">
        <f>M749 * $Q$4</f>
        <v>2.25</v>
      </c>
      <c r="O749" s="5">
        <f>M749* $Q$5</f>
        <v>3</v>
      </c>
    </row>
    <row r="750" spans="1:15">
      <c r="A750" s="2">
        <v>749</v>
      </c>
      <c r="B750" s="4">
        <f t="shared" si="33"/>
        <v>3</v>
      </c>
      <c r="C750" s="4">
        <f t="shared" si="34"/>
        <v>5</v>
      </c>
      <c r="D750" s="4">
        <f t="shared" si="35"/>
        <v>2023</v>
      </c>
      <c r="E750" s="3">
        <v>45049</v>
      </c>
      <c r="F750" s="4" t="s">
        <v>775</v>
      </c>
      <c r="G750" s="4" t="s">
        <v>16</v>
      </c>
      <c r="H750" s="4" t="str" cm="1">
        <f t="array" ref="H750">_xlfn.IFS(I750&lt;30, "Young Adult", I750&gt;=50, "Senior", I750&gt;=30, "Adult")</f>
        <v>Adult</v>
      </c>
      <c r="I750" s="4">
        <v>42</v>
      </c>
      <c r="J750" s="4" t="s">
        <v>17</v>
      </c>
      <c r="K750" s="4">
        <v>1</v>
      </c>
      <c r="L750" s="5">
        <v>30</v>
      </c>
      <c r="M750" s="5">
        <f>K750 * L750</f>
        <v>30</v>
      </c>
      <c r="N750" s="5">
        <f>M750 * $Q$4</f>
        <v>0.44999999999999996</v>
      </c>
      <c r="O750" s="5">
        <f>M750* $Q$5</f>
        <v>0.6</v>
      </c>
    </row>
    <row r="751" spans="1:15">
      <c r="A751" s="2">
        <v>750</v>
      </c>
      <c r="B751" s="4">
        <f t="shared" si="33"/>
        <v>6</v>
      </c>
      <c r="C751" s="4">
        <f t="shared" si="34"/>
        <v>3</v>
      </c>
      <c r="D751" s="4">
        <f t="shared" si="35"/>
        <v>2023</v>
      </c>
      <c r="E751" s="3">
        <v>44991</v>
      </c>
      <c r="F751" s="4" t="s">
        <v>776</v>
      </c>
      <c r="G751" s="4" t="s">
        <v>19</v>
      </c>
      <c r="H751" s="4" t="str" cm="1">
        <f t="array" ref="H751">_xlfn.IFS(I751&lt;30, "Young Adult", I751&gt;=50, "Senior", I751&gt;=30, "Adult")</f>
        <v>Adult</v>
      </c>
      <c r="I751" s="4">
        <v>35</v>
      </c>
      <c r="J751" s="4" t="s">
        <v>20</v>
      </c>
      <c r="K751" s="4">
        <v>3</v>
      </c>
      <c r="L751" s="5">
        <v>25</v>
      </c>
      <c r="M751" s="5">
        <f>K751 * L751</f>
        <v>75</v>
      </c>
      <c r="N751" s="5">
        <f>M751 * $Q$4</f>
        <v>1.125</v>
      </c>
      <c r="O751" s="5">
        <f>M751* $Q$5</f>
        <v>1.5</v>
      </c>
    </row>
    <row r="752" spans="1:15">
      <c r="A752" s="2">
        <v>751</v>
      </c>
      <c r="B752" s="4">
        <f t="shared" si="33"/>
        <v>31</v>
      </c>
      <c r="C752" s="4">
        <f t="shared" si="34"/>
        <v>8</v>
      </c>
      <c r="D752" s="4">
        <f t="shared" si="35"/>
        <v>2023</v>
      </c>
      <c r="E752" s="3">
        <v>45169</v>
      </c>
      <c r="F752" s="4" t="s">
        <v>777</v>
      </c>
      <c r="G752" s="4" t="s">
        <v>19</v>
      </c>
      <c r="H752" s="4" t="str" cm="1">
        <f t="array" ref="H752">_xlfn.IFS(I752&lt;30, "Young Adult", I752&gt;=50, "Senior", I752&gt;=30, "Adult")</f>
        <v>Adult</v>
      </c>
      <c r="I752" s="4">
        <v>42</v>
      </c>
      <c r="J752" s="4" t="s">
        <v>20</v>
      </c>
      <c r="K752" s="4">
        <v>2</v>
      </c>
      <c r="L752" s="5">
        <v>25</v>
      </c>
      <c r="M752" s="5">
        <f>K752 * L752</f>
        <v>50</v>
      </c>
      <c r="N752" s="5">
        <f>M752 * $Q$4</f>
        <v>0.75</v>
      </c>
      <c r="O752" s="5">
        <f>M752* $Q$5</f>
        <v>1</v>
      </c>
    </row>
    <row r="753" spans="1:15">
      <c r="A753" s="2">
        <v>752</v>
      </c>
      <c r="B753" s="4">
        <f t="shared" si="33"/>
        <v>9</v>
      </c>
      <c r="C753" s="4">
        <f t="shared" si="34"/>
        <v>12</v>
      </c>
      <c r="D753" s="4">
        <f t="shared" si="35"/>
        <v>2023</v>
      </c>
      <c r="E753" s="3">
        <v>45269</v>
      </c>
      <c r="F753" s="4" t="s">
        <v>778</v>
      </c>
      <c r="G753" s="4" t="s">
        <v>16</v>
      </c>
      <c r="H753" s="4" t="str" cm="1">
        <f t="array" ref="H753">_xlfn.IFS(I753&lt;30, "Young Adult", I753&gt;=50, "Senior", I753&gt;=30, "Adult")</f>
        <v>Young Adult</v>
      </c>
      <c r="I753" s="4">
        <v>29</v>
      </c>
      <c r="J753" s="4" t="s">
        <v>20</v>
      </c>
      <c r="K753" s="4">
        <v>2</v>
      </c>
      <c r="L753" s="5">
        <v>50</v>
      </c>
      <c r="M753" s="5">
        <f>K753 * L753</f>
        <v>100</v>
      </c>
      <c r="N753" s="5">
        <f>M753 * $Q$4</f>
        <v>1.5</v>
      </c>
      <c r="O753" s="5">
        <f>M753* $Q$5</f>
        <v>2</v>
      </c>
    </row>
    <row r="754" spans="1:15">
      <c r="A754" s="2">
        <v>753</v>
      </c>
      <c r="B754" s="4">
        <f t="shared" si="33"/>
        <v>28</v>
      </c>
      <c r="C754" s="4">
        <f t="shared" si="34"/>
        <v>2</v>
      </c>
      <c r="D754" s="4">
        <f t="shared" si="35"/>
        <v>2023</v>
      </c>
      <c r="E754" s="3">
        <v>44985</v>
      </c>
      <c r="F754" s="4" t="s">
        <v>779</v>
      </c>
      <c r="G754" s="4" t="s">
        <v>19</v>
      </c>
      <c r="H754" s="4" t="str" cm="1">
        <f t="array" ref="H754">_xlfn.IFS(I754&lt;30, "Young Adult", I754&gt;=50, "Senior", I754&gt;=30, "Adult")</f>
        <v>Adult</v>
      </c>
      <c r="I754" s="4">
        <v>32</v>
      </c>
      <c r="J754" s="4" t="s">
        <v>20</v>
      </c>
      <c r="K754" s="4">
        <v>1</v>
      </c>
      <c r="L754" s="5">
        <v>30</v>
      </c>
      <c r="M754" s="5">
        <f>K754 * L754</f>
        <v>30</v>
      </c>
      <c r="N754" s="5">
        <f>M754 * $Q$4</f>
        <v>0.44999999999999996</v>
      </c>
      <c r="O754" s="5">
        <f>M754* $Q$5</f>
        <v>0.6</v>
      </c>
    </row>
    <row r="755" spans="1:15">
      <c r="A755" s="2">
        <v>754</v>
      </c>
      <c r="B755" s="4">
        <f t="shared" si="33"/>
        <v>16</v>
      </c>
      <c r="C755" s="4">
        <f t="shared" si="34"/>
        <v>10</v>
      </c>
      <c r="D755" s="4">
        <f t="shared" si="35"/>
        <v>2023</v>
      </c>
      <c r="E755" s="3">
        <v>45215</v>
      </c>
      <c r="F755" s="4" t="s">
        <v>780</v>
      </c>
      <c r="G755" s="4" t="s">
        <v>19</v>
      </c>
      <c r="H755" s="4" t="str" cm="1">
        <f t="array" ref="H755">_xlfn.IFS(I755&lt;30, "Young Adult", I755&gt;=50, "Senior", I755&gt;=30, "Adult")</f>
        <v>Adult</v>
      </c>
      <c r="I755" s="4">
        <v>43</v>
      </c>
      <c r="J755" s="4" t="s">
        <v>24</v>
      </c>
      <c r="K755" s="4">
        <v>4</v>
      </c>
      <c r="L755" s="5">
        <v>25</v>
      </c>
      <c r="M755" s="5">
        <f>K755 * L755</f>
        <v>100</v>
      </c>
      <c r="N755" s="5">
        <f>M755 * $Q$4</f>
        <v>1.5</v>
      </c>
      <c r="O755" s="5">
        <f>M755* $Q$5</f>
        <v>2</v>
      </c>
    </row>
    <row r="756" spans="1:15">
      <c r="A756" s="2">
        <v>755</v>
      </c>
      <c r="B756" s="4">
        <f t="shared" si="33"/>
        <v>22</v>
      </c>
      <c r="C756" s="4">
        <f t="shared" si="34"/>
        <v>4</v>
      </c>
      <c r="D756" s="4">
        <f t="shared" si="35"/>
        <v>2023</v>
      </c>
      <c r="E756" s="3">
        <v>45038</v>
      </c>
      <c r="F756" s="4" t="s">
        <v>781</v>
      </c>
      <c r="G756" s="4" t="s">
        <v>19</v>
      </c>
      <c r="H756" s="4" t="str" cm="1">
        <f t="array" ref="H756">_xlfn.IFS(I756&lt;30, "Young Adult", I756&gt;=50, "Senior", I756&gt;=30, "Adult")</f>
        <v>Senior</v>
      </c>
      <c r="I756" s="4">
        <v>58</v>
      </c>
      <c r="J756" s="4" t="s">
        <v>20</v>
      </c>
      <c r="K756" s="4">
        <v>3</v>
      </c>
      <c r="L756" s="5">
        <v>25</v>
      </c>
      <c r="M756" s="5">
        <f>K756 * L756</f>
        <v>75</v>
      </c>
      <c r="N756" s="5">
        <f>M756 * $Q$4</f>
        <v>1.125</v>
      </c>
      <c r="O756" s="5">
        <f>M756* $Q$5</f>
        <v>1.5</v>
      </c>
    </row>
    <row r="757" spans="1:15">
      <c r="A757" s="2">
        <v>756</v>
      </c>
      <c r="B757" s="4">
        <f t="shared" si="33"/>
        <v>27</v>
      </c>
      <c r="C757" s="4">
        <f t="shared" si="34"/>
        <v>8</v>
      </c>
      <c r="D757" s="4">
        <f t="shared" si="35"/>
        <v>2023</v>
      </c>
      <c r="E757" s="3">
        <v>45165</v>
      </c>
      <c r="F757" s="4" t="s">
        <v>782</v>
      </c>
      <c r="G757" s="4" t="s">
        <v>19</v>
      </c>
      <c r="H757" s="4" t="str" cm="1">
        <f t="array" ref="H757">_xlfn.IFS(I757&lt;30, "Young Adult", I757&gt;=50, "Senior", I757&gt;=30, "Adult")</f>
        <v>Senior</v>
      </c>
      <c r="I757" s="4">
        <v>62</v>
      </c>
      <c r="J757" s="4" t="s">
        <v>24</v>
      </c>
      <c r="K757" s="4">
        <v>4</v>
      </c>
      <c r="L757" s="5">
        <v>300</v>
      </c>
      <c r="M757" s="5">
        <f>K757 * L757</f>
        <v>1200</v>
      </c>
      <c r="N757" s="5">
        <f>M757 * $Q$4</f>
        <v>18</v>
      </c>
      <c r="O757" s="5">
        <f>M757* $Q$5</f>
        <v>24</v>
      </c>
    </row>
    <row r="758" spans="1:15">
      <c r="A758" s="2">
        <v>757</v>
      </c>
      <c r="B758" s="4">
        <f t="shared" si="33"/>
        <v>25</v>
      </c>
      <c r="C758" s="4">
        <f t="shared" si="34"/>
        <v>12</v>
      </c>
      <c r="D758" s="4">
        <f t="shared" si="35"/>
        <v>2023</v>
      </c>
      <c r="E758" s="3">
        <v>45285</v>
      </c>
      <c r="F758" s="4" t="s">
        <v>783</v>
      </c>
      <c r="G758" s="4" t="s">
        <v>19</v>
      </c>
      <c r="H758" s="4" t="str" cm="1">
        <f t="array" ref="H758">_xlfn.IFS(I758&lt;30, "Young Adult", I758&gt;=50, "Senior", I758&gt;=30, "Adult")</f>
        <v>Adult</v>
      </c>
      <c r="I758" s="4">
        <v>43</v>
      </c>
      <c r="J758" s="4" t="s">
        <v>24</v>
      </c>
      <c r="K758" s="4">
        <v>4</v>
      </c>
      <c r="L758" s="5">
        <v>300</v>
      </c>
      <c r="M758" s="5">
        <f>K758 * L758</f>
        <v>1200</v>
      </c>
      <c r="N758" s="5">
        <f>M758 * $Q$4</f>
        <v>18</v>
      </c>
      <c r="O758" s="5">
        <f>M758* $Q$5</f>
        <v>24</v>
      </c>
    </row>
    <row r="759" spans="1:15">
      <c r="A759" s="2">
        <v>758</v>
      </c>
      <c r="B759" s="4">
        <f t="shared" si="33"/>
        <v>12</v>
      </c>
      <c r="C759" s="4">
        <f t="shared" si="34"/>
        <v>5</v>
      </c>
      <c r="D759" s="4">
        <f t="shared" si="35"/>
        <v>2023</v>
      </c>
      <c r="E759" s="3">
        <v>45058</v>
      </c>
      <c r="F759" s="4" t="s">
        <v>784</v>
      </c>
      <c r="G759" s="4" t="s">
        <v>16</v>
      </c>
      <c r="H759" s="4" t="str" cm="1">
        <f t="array" ref="H759">_xlfn.IFS(I759&lt;30, "Young Adult", I759&gt;=50, "Senior", I759&gt;=30, "Adult")</f>
        <v>Senior</v>
      </c>
      <c r="I759" s="4">
        <v>64</v>
      </c>
      <c r="J759" s="4" t="s">
        <v>20</v>
      </c>
      <c r="K759" s="4">
        <v>4</v>
      </c>
      <c r="L759" s="5">
        <v>25</v>
      </c>
      <c r="M759" s="5">
        <f>K759 * L759</f>
        <v>100</v>
      </c>
      <c r="N759" s="5">
        <f>M759 * $Q$4</f>
        <v>1.5</v>
      </c>
      <c r="O759" s="5">
        <f>M759* $Q$5</f>
        <v>2</v>
      </c>
    </row>
    <row r="760" spans="1:15">
      <c r="A760" s="2">
        <v>759</v>
      </c>
      <c r="B760" s="4">
        <f t="shared" si="33"/>
        <v>8</v>
      </c>
      <c r="C760" s="4">
        <f t="shared" si="34"/>
        <v>7</v>
      </c>
      <c r="D760" s="4">
        <f t="shared" si="35"/>
        <v>2023</v>
      </c>
      <c r="E760" s="3">
        <v>45115</v>
      </c>
      <c r="F760" s="4" t="s">
        <v>785</v>
      </c>
      <c r="G760" s="4" t="s">
        <v>16</v>
      </c>
      <c r="H760" s="4" t="str" cm="1">
        <f t="array" ref="H760">_xlfn.IFS(I760&lt;30, "Young Adult", I760&gt;=50, "Senior", I760&gt;=30, "Adult")</f>
        <v>Adult</v>
      </c>
      <c r="I760" s="4">
        <v>49</v>
      </c>
      <c r="J760" s="4" t="s">
        <v>24</v>
      </c>
      <c r="K760" s="4">
        <v>2</v>
      </c>
      <c r="L760" s="5">
        <v>50</v>
      </c>
      <c r="M760" s="5">
        <f>K760 * L760</f>
        <v>100</v>
      </c>
      <c r="N760" s="5">
        <f>M760 * $Q$4</f>
        <v>1.5</v>
      </c>
      <c r="O760" s="5">
        <f>M760* $Q$5</f>
        <v>2</v>
      </c>
    </row>
    <row r="761" spans="1:15">
      <c r="A761" s="2">
        <v>760</v>
      </c>
      <c r="B761" s="4">
        <f t="shared" si="33"/>
        <v>27</v>
      </c>
      <c r="C761" s="4">
        <f t="shared" si="34"/>
        <v>3</v>
      </c>
      <c r="D761" s="4">
        <f t="shared" si="35"/>
        <v>2023</v>
      </c>
      <c r="E761" s="3">
        <v>45012</v>
      </c>
      <c r="F761" s="4" t="s">
        <v>786</v>
      </c>
      <c r="G761" s="4" t="s">
        <v>16</v>
      </c>
      <c r="H761" s="4" t="str" cm="1">
        <f t="array" ref="H761">_xlfn.IFS(I761&lt;30, "Young Adult", I761&gt;=50, "Senior", I761&gt;=30, "Adult")</f>
        <v>Young Adult</v>
      </c>
      <c r="I761" s="4">
        <v>27</v>
      </c>
      <c r="J761" s="4" t="s">
        <v>17</v>
      </c>
      <c r="K761" s="4">
        <v>1</v>
      </c>
      <c r="L761" s="5">
        <v>500</v>
      </c>
      <c r="M761" s="5">
        <f>K761 * L761</f>
        <v>500</v>
      </c>
      <c r="N761" s="5">
        <f>M761 * $Q$4</f>
        <v>7.5</v>
      </c>
      <c r="O761" s="5">
        <f>M761* $Q$5</f>
        <v>10</v>
      </c>
    </row>
    <row r="762" spans="1:15">
      <c r="A762" s="2">
        <v>761</v>
      </c>
      <c r="B762" s="4">
        <f t="shared" si="33"/>
        <v>7</v>
      </c>
      <c r="C762" s="4">
        <f t="shared" si="34"/>
        <v>11</v>
      </c>
      <c r="D762" s="4">
        <f t="shared" si="35"/>
        <v>2023</v>
      </c>
      <c r="E762" s="3">
        <v>45237</v>
      </c>
      <c r="F762" s="4" t="s">
        <v>787</v>
      </c>
      <c r="G762" s="4" t="s">
        <v>19</v>
      </c>
      <c r="H762" s="4" t="str" cm="1">
        <f t="array" ref="H762">_xlfn.IFS(I762&lt;30, "Young Adult", I762&gt;=50, "Senior", I762&gt;=30, "Adult")</f>
        <v>Adult</v>
      </c>
      <c r="I762" s="4">
        <v>33</v>
      </c>
      <c r="J762" s="4" t="s">
        <v>20</v>
      </c>
      <c r="K762" s="4">
        <v>1</v>
      </c>
      <c r="L762" s="5">
        <v>500</v>
      </c>
      <c r="M762" s="5">
        <f>K762 * L762</f>
        <v>500</v>
      </c>
      <c r="N762" s="5">
        <f>M762 * $Q$4</f>
        <v>7.5</v>
      </c>
      <c r="O762" s="5">
        <f>M762* $Q$5</f>
        <v>10</v>
      </c>
    </row>
    <row r="763" spans="1:15">
      <c r="A763" s="2">
        <v>762</v>
      </c>
      <c r="B763" s="4">
        <f t="shared" si="33"/>
        <v>7</v>
      </c>
      <c r="C763" s="4">
        <f t="shared" si="34"/>
        <v>11</v>
      </c>
      <c r="D763" s="4">
        <f t="shared" si="35"/>
        <v>2023</v>
      </c>
      <c r="E763" s="3">
        <v>45237</v>
      </c>
      <c r="F763" s="4" t="s">
        <v>788</v>
      </c>
      <c r="G763" s="4" t="s">
        <v>19</v>
      </c>
      <c r="H763" s="4" t="str" cm="1">
        <f t="array" ref="H763">_xlfn.IFS(I763&lt;30, "Young Adult", I763&gt;=50, "Senior", I763&gt;=30, "Adult")</f>
        <v>Young Adult</v>
      </c>
      <c r="I763" s="4">
        <v>24</v>
      </c>
      <c r="J763" s="4" t="s">
        <v>24</v>
      </c>
      <c r="K763" s="4">
        <v>2</v>
      </c>
      <c r="L763" s="5">
        <v>25</v>
      </c>
      <c r="M763" s="5">
        <f>K763 * L763</f>
        <v>50</v>
      </c>
      <c r="N763" s="5">
        <f>M763 * $Q$4</f>
        <v>0.75</v>
      </c>
      <c r="O763" s="5">
        <f>M763* $Q$5</f>
        <v>1</v>
      </c>
    </row>
    <row r="764" spans="1:15">
      <c r="A764" s="2">
        <v>763</v>
      </c>
      <c r="B764" s="4">
        <f t="shared" si="33"/>
        <v>28</v>
      </c>
      <c r="C764" s="4">
        <f t="shared" si="34"/>
        <v>2</v>
      </c>
      <c r="D764" s="4">
        <f t="shared" si="35"/>
        <v>2023</v>
      </c>
      <c r="E764" s="3">
        <v>44985</v>
      </c>
      <c r="F764" s="4" t="s">
        <v>789</v>
      </c>
      <c r="G764" s="4" t="s">
        <v>16</v>
      </c>
      <c r="H764" s="4" t="str" cm="1">
        <f t="array" ref="H764">_xlfn.IFS(I764&lt;30, "Young Adult", I764&gt;=50, "Senior", I764&gt;=30, "Adult")</f>
        <v>Adult</v>
      </c>
      <c r="I764" s="4">
        <v>34</v>
      </c>
      <c r="J764" s="4" t="s">
        <v>20</v>
      </c>
      <c r="K764" s="4">
        <v>2</v>
      </c>
      <c r="L764" s="5">
        <v>25</v>
      </c>
      <c r="M764" s="5">
        <f>K764 * L764</f>
        <v>50</v>
      </c>
      <c r="N764" s="5">
        <f>M764 * $Q$4</f>
        <v>0.75</v>
      </c>
      <c r="O764" s="5">
        <f>M764* $Q$5</f>
        <v>1</v>
      </c>
    </row>
    <row r="765" spans="1:15">
      <c r="A765" s="2">
        <v>764</v>
      </c>
      <c r="B765" s="4">
        <f t="shared" si="33"/>
        <v>25</v>
      </c>
      <c r="C765" s="4">
        <f t="shared" si="34"/>
        <v>3</v>
      </c>
      <c r="D765" s="4">
        <f t="shared" si="35"/>
        <v>2023</v>
      </c>
      <c r="E765" s="3">
        <v>45010</v>
      </c>
      <c r="F765" s="4" t="s">
        <v>790</v>
      </c>
      <c r="G765" s="4" t="s">
        <v>19</v>
      </c>
      <c r="H765" s="4" t="str" cm="1">
        <f t="array" ref="H765">_xlfn.IFS(I765&lt;30, "Young Adult", I765&gt;=50, "Senior", I765&gt;=30, "Adult")</f>
        <v>Adult</v>
      </c>
      <c r="I765" s="4">
        <v>40</v>
      </c>
      <c r="J765" s="4" t="s">
        <v>20</v>
      </c>
      <c r="K765" s="4">
        <v>1</v>
      </c>
      <c r="L765" s="5">
        <v>25</v>
      </c>
      <c r="M765" s="5">
        <f>K765 * L765</f>
        <v>25</v>
      </c>
      <c r="N765" s="5">
        <f>M765 * $Q$4</f>
        <v>0.375</v>
      </c>
      <c r="O765" s="5">
        <f>M765* $Q$5</f>
        <v>0.5</v>
      </c>
    </row>
    <row r="766" spans="1:15">
      <c r="A766" s="2">
        <v>765</v>
      </c>
      <c r="B766" s="4">
        <f t="shared" si="33"/>
        <v>9</v>
      </c>
      <c r="C766" s="4">
        <f t="shared" si="34"/>
        <v>6</v>
      </c>
      <c r="D766" s="4">
        <f t="shared" si="35"/>
        <v>2023</v>
      </c>
      <c r="E766" s="3">
        <v>45086</v>
      </c>
      <c r="F766" s="4" t="s">
        <v>791</v>
      </c>
      <c r="G766" s="4" t="s">
        <v>16</v>
      </c>
      <c r="H766" s="4" t="str" cm="1">
        <f t="array" ref="H766">_xlfn.IFS(I766&lt;30, "Young Adult", I766&gt;=50, "Senior", I766&gt;=30, "Adult")</f>
        <v>Adult</v>
      </c>
      <c r="I766" s="4">
        <v>43</v>
      </c>
      <c r="J766" s="4" t="s">
        <v>20</v>
      </c>
      <c r="K766" s="4">
        <v>4</v>
      </c>
      <c r="L766" s="5">
        <v>50</v>
      </c>
      <c r="M766" s="5">
        <f>K766 * L766</f>
        <v>200</v>
      </c>
      <c r="N766" s="5">
        <f>M766 * $Q$4</f>
        <v>3</v>
      </c>
      <c r="O766" s="5">
        <f>M766* $Q$5</f>
        <v>4</v>
      </c>
    </row>
    <row r="767" spans="1:15">
      <c r="A767" s="2">
        <v>766</v>
      </c>
      <c r="B767" s="4">
        <f t="shared" si="33"/>
        <v>25</v>
      </c>
      <c r="C767" s="4">
        <f t="shared" si="34"/>
        <v>2</v>
      </c>
      <c r="D767" s="4">
        <f t="shared" si="35"/>
        <v>2023</v>
      </c>
      <c r="E767" s="3">
        <v>44982</v>
      </c>
      <c r="F767" s="4" t="s">
        <v>792</v>
      </c>
      <c r="G767" s="4" t="s">
        <v>16</v>
      </c>
      <c r="H767" s="4" t="str" cm="1">
        <f t="array" ref="H767">_xlfn.IFS(I767&lt;30, "Young Adult", I767&gt;=50, "Senior", I767&gt;=30, "Adult")</f>
        <v>Adult</v>
      </c>
      <c r="I767" s="4">
        <v>38</v>
      </c>
      <c r="J767" s="4" t="s">
        <v>24</v>
      </c>
      <c r="K767" s="4">
        <v>3</v>
      </c>
      <c r="L767" s="5">
        <v>300</v>
      </c>
      <c r="M767" s="5">
        <f>K767 * L767</f>
        <v>900</v>
      </c>
      <c r="N767" s="5">
        <f>M767 * $Q$4</f>
        <v>13.5</v>
      </c>
      <c r="O767" s="5">
        <f>M767* $Q$5</f>
        <v>18</v>
      </c>
    </row>
    <row r="768" spans="1:15">
      <c r="A768" s="2">
        <v>767</v>
      </c>
      <c r="B768" s="4">
        <f t="shared" si="33"/>
        <v>24</v>
      </c>
      <c r="C768" s="4">
        <f t="shared" si="34"/>
        <v>10</v>
      </c>
      <c r="D768" s="4">
        <f t="shared" si="35"/>
        <v>2023</v>
      </c>
      <c r="E768" s="3">
        <v>45223</v>
      </c>
      <c r="F768" s="4" t="s">
        <v>793</v>
      </c>
      <c r="G768" s="4" t="s">
        <v>16</v>
      </c>
      <c r="H768" s="4" t="str" cm="1">
        <f t="array" ref="H768">_xlfn.IFS(I768&lt;30, "Young Adult", I768&gt;=50, "Senior", I768&gt;=30, "Adult")</f>
        <v>Adult</v>
      </c>
      <c r="I768" s="4">
        <v>39</v>
      </c>
      <c r="J768" s="4" t="s">
        <v>17</v>
      </c>
      <c r="K768" s="4">
        <v>3</v>
      </c>
      <c r="L768" s="5">
        <v>25</v>
      </c>
      <c r="M768" s="5">
        <f>K768 * L768</f>
        <v>75</v>
      </c>
      <c r="N768" s="5">
        <f>M768 * $Q$4</f>
        <v>1.125</v>
      </c>
      <c r="O768" s="5">
        <f>M768* $Q$5</f>
        <v>1.5</v>
      </c>
    </row>
    <row r="769" spans="1:15">
      <c r="A769" s="2">
        <v>768</v>
      </c>
      <c r="B769" s="4">
        <f t="shared" si="33"/>
        <v>14</v>
      </c>
      <c r="C769" s="4">
        <f t="shared" si="34"/>
        <v>1</v>
      </c>
      <c r="D769" s="4">
        <f t="shared" si="35"/>
        <v>2023</v>
      </c>
      <c r="E769" s="3">
        <v>44940</v>
      </c>
      <c r="F769" s="4" t="s">
        <v>794</v>
      </c>
      <c r="G769" s="4" t="s">
        <v>19</v>
      </c>
      <c r="H769" s="4" t="str" cm="1">
        <f t="array" ref="H769">_xlfn.IFS(I769&lt;30, "Young Adult", I769&gt;=50, "Senior", I769&gt;=30, "Adult")</f>
        <v>Young Adult</v>
      </c>
      <c r="I769" s="4">
        <v>24</v>
      </c>
      <c r="J769" s="4" t="s">
        <v>17</v>
      </c>
      <c r="K769" s="4">
        <v>3</v>
      </c>
      <c r="L769" s="5">
        <v>25</v>
      </c>
      <c r="M769" s="5">
        <f>K769 * L769</f>
        <v>75</v>
      </c>
      <c r="N769" s="5">
        <f>M769 * $Q$4</f>
        <v>1.125</v>
      </c>
      <c r="O769" s="5">
        <f>M769* $Q$5</f>
        <v>1.5</v>
      </c>
    </row>
    <row r="770" spans="1:15">
      <c r="A770" s="2">
        <v>769</v>
      </c>
      <c r="B770" s="4">
        <f t="shared" si="33"/>
        <v>9</v>
      </c>
      <c r="C770" s="4">
        <f t="shared" si="34"/>
        <v>6</v>
      </c>
      <c r="D770" s="4">
        <f t="shared" si="35"/>
        <v>2023</v>
      </c>
      <c r="E770" s="3">
        <v>45086</v>
      </c>
      <c r="F770" s="4" t="s">
        <v>795</v>
      </c>
      <c r="G770" s="4" t="s">
        <v>19</v>
      </c>
      <c r="H770" s="4" t="str" cm="1">
        <f t="array" ref="H770">_xlfn.IFS(I770&lt;30, "Young Adult", I770&gt;=50, "Senior", I770&gt;=30, "Adult")</f>
        <v>Adult</v>
      </c>
      <c r="I770" s="4">
        <v>31</v>
      </c>
      <c r="J770" s="4" t="s">
        <v>24</v>
      </c>
      <c r="K770" s="4">
        <v>4</v>
      </c>
      <c r="L770" s="5">
        <v>30</v>
      </c>
      <c r="M770" s="5">
        <f>K770 * L770</f>
        <v>120</v>
      </c>
      <c r="N770" s="5">
        <f>M770 * $Q$4</f>
        <v>1.7999999999999998</v>
      </c>
      <c r="O770" s="5">
        <f>M770* $Q$5</f>
        <v>2.4</v>
      </c>
    </row>
    <row r="771" spans="1:15">
      <c r="A771" s="2">
        <v>770</v>
      </c>
      <c r="B771" s="4">
        <f t="shared" ref="B771:B834" si="36">DAY(E771)</f>
        <v>22</v>
      </c>
      <c r="C771" s="4">
        <f t="shared" ref="C771:C834" si="37">MONTH(E771)</f>
        <v>10</v>
      </c>
      <c r="D771" s="4">
        <f t="shared" ref="D771:D834" si="38">YEAR(E771)</f>
        <v>2023</v>
      </c>
      <c r="E771" s="3">
        <v>45221</v>
      </c>
      <c r="F771" s="4" t="s">
        <v>796</v>
      </c>
      <c r="G771" s="4" t="s">
        <v>16</v>
      </c>
      <c r="H771" s="4" t="str" cm="1">
        <f t="array" ref="H771">_xlfn.IFS(I771&lt;30, "Young Adult", I771&gt;=50, "Senior", I771&gt;=30, "Adult")</f>
        <v>Adult</v>
      </c>
      <c r="I771" s="4">
        <v>32</v>
      </c>
      <c r="J771" s="4" t="s">
        <v>20</v>
      </c>
      <c r="K771" s="4">
        <v>1</v>
      </c>
      <c r="L771" s="5">
        <v>50</v>
      </c>
      <c r="M771" s="5">
        <f>K771 * L771</f>
        <v>50</v>
      </c>
      <c r="N771" s="5">
        <f>M771 * $Q$4</f>
        <v>0.75</v>
      </c>
      <c r="O771" s="5">
        <f>M771* $Q$5</f>
        <v>1</v>
      </c>
    </row>
    <row r="772" spans="1:15">
      <c r="A772" s="2">
        <v>771</v>
      </c>
      <c r="B772" s="4">
        <f t="shared" si="36"/>
        <v>13</v>
      </c>
      <c r="C772" s="4">
        <f t="shared" si="37"/>
        <v>12</v>
      </c>
      <c r="D772" s="4">
        <f t="shared" si="38"/>
        <v>2023</v>
      </c>
      <c r="E772" s="3">
        <v>45273</v>
      </c>
      <c r="F772" s="4" t="s">
        <v>797</v>
      </c>
      <c r="G772" s="4" t="s">
        <v>16</v>
      </c>
      <c r="H772" s="4" t="str" cm="1">
        <f t="array" ref="H772">_xlfn.IFS(I772&lt;30, "Young Adult", I772&gt;=50, "Senior", I772&gt;=30, "Adult")</f>
        <v>Young Adult</v>
      </c>
      <c r="I772" s="4">
        <v>24</v>
      </c>
      <c r="J772" s="4" t="s">
        <v>24</v>
      </c>
      <c r="K772" s="4">
        <v>2</v>
      </c>
      <c r="L772" s="5">
        <v>25</v>
      </c>
      <c r="M772" s="5">
        <f>K772 * L772</f>
        <v>50</v>
      </c>
      <c r="N772" s="5">
        <f>M772 * $Q$4</f>
        <v>0.75</v>
      </c>
      <c r="O772" s="5">
        <f>M772* $Q$5</f>
        <v>1</v>
      </c>
    </row>
    <row r="773" spans="1:15">
      <c r="A773" s="2">
        <v>772</v>
      </c>
      <c r="B773" s="4">
        <f t="shared" si="36"/>
        <v>12</v>
      </c>
      <c r="C773" s="4">
        <f t="shared" si="37"/>
        <v>7</v>
      </c>
      <c r="D773" s="4">
        <f t="shared" si="38"/>
        <v>2023</v>
      </c>
      <c r="E773" s="3">
        <v>45119</v>
      </c>
      <c r="F773" s="4" t="s">
        <v>798</v>
      </c>
      <c r="G773" s="4" t="s">
        <v>16</v>
      </c>
      <c r="H773" s="4" t="str" cm="1">
        <f t="array" ref="H773">_xlfn.IFS(I773&lt;30, "Young Adult", I773&gt;=50, "Senior", I773&gt;=30, "Adult")</f>
        <v>Young Adult</v>
      </c>
      <c r="I773" s="4">
        <v>26</v>
      </c>
      <c r="J773" s="4" t="s">
        <v>24</v>
      </c>
      <c r="K773" s="4">
        <v>1</v>
      </c>
      <c r="L773" s="5">
        <v>30</v>
      </c>
      <c r="M773" s="5">
        <f>K773 * L773</f>
        <v>30</v>
      </c>
      <c r="N773" s="5">
        <f>M773 * $Q$4</f>
        <v>0.44999999999999996</v>
      </c>
      <c r="O773" s="5">
        <f>M773* $Q$5</f>
        <v>0.6</v>
      </c>
    </row>
    <row r="774" spans="1:15">
      <c r="A774" s="2">
        <v>773</v>
      </c>
      <c r="B774" s="4">
        <f t="shared" si="36"/>
        <v>23</v>
      </c>
      <c r="C774" s="4">
        <f t="shared" si="37"/>
        <v>7</v>
      </c>
      <c r="D774" s="4">
        <f t="shared" si="38"/>
        <v>2023</v>
      </c>
      <c r="E774" s="3">
        <v>45130</v>
      </c>
      <c r="F774" s="4" t="s">
        <v>799</v>
      </c>
      <c r="G774" s="4" t="s">
        <v>16</v>
      </c>
      <c r="H774" s="4" t="str" cm="1">
        <f t="array" ref="H774">_xlfn.IFS(I774&lt;30, "Young Adult", I774&gt;=50, "Senior", I774&gt;=30, "Adult")</f>
        <v>Young Adult</v>
      </c>
      <c r="I774" s="4">
        <v>25</v>
      </c>
      <c r="J774" s="4" t="s">
        <v>24</v>
      </c>
      <c r="K774" s="4">
        <v>4</v>
      </c>
      <c r="L774" s="5">
        <v>500</v>
      </c>
      <c r="M774" s="5">
        <f>K774 * L774</f>
        <v>2000</v>
      </c>
      <c r="N774" s="5">
        <f>M774 * $Q$4</f>
        <v>30</v>
      </c>
      <c r="O774" s="5">
        <f>M774* $Q$5</f>
        <v>40</v>
      </c>
    </row>
    <row r="775" spans="1:15">
      <c r="A775" s="2">
        <v>774</v>
      </c>
      <c r="B775" s="4">
        <f t="shared" si="36"/>
        <v>12</v>
      </c>
      <c r="C775" s="4">
        <f t="shared" si="37"/>
        <v>4</v>
      </c>
      <c r="D775" s="4">
        <f t="shared" si="38"/>
        <v>2023</v>
      </c>
      <c r="E775" s="3">
        <v>45028</v>
      </c>
      <c r="F775" s="4" t="s">
        <v>800</v>
      </c>
      <c r="G775" s="4" t="s">
        <v>19</v>
      </c>
      <c r="H775" s="4" t="str" cm="1">
        <f t="array" ref="H775">_xlfn.IFS(I775&lt;30, "Young Adult", I775&gt;=50, "Senior", I775&gt;=30, "Adult")</f>
        <v>Adult</v>
      </c>
      <c r="I775" s="4">
        <v>40</v>
      </c>
      <c r="J775" s="4" t="s">
        <v>20</v>
      </c>
      <c r="K775" s="4">
        <v>2</v>
      </c>
      <c r="L775" s="5">
        <v>25</v>
      </c>
      <c r="M775" s="5">
        <f>K775 * L775</f>
        <v>50</v>
      </c>
      <c r="N775" s="5">
        <f>M775 * $Q$4</f>
        <v>0.75</v>
      </c>
      <c r="O775" s="5">
        <f>M775* $Q$5</f>
        <v>1</v>
      </c>
    </row>
    <row r="776" spans="1:15">
      <c r="A776" s="2">
        <v>775</v>
      </c>
      <c r="B776" s="4">
        <f t="shared" si="36"/>
        <v>8</v>
      </c>
      <c r="C776" s="4">
        <f t="shared" si="37"/>
        <v>2</v>
      </c>
      <c r="D776" s="4">
        <f t="shared" si="38"/>
        <v>2023</v>
      </c>
      <c r="E776" s="3">
        <v>44965</v>
      </c>
      <c r="F776" s="4" t="s">
        <v>801</v>
      </c>
      <c r="G776" s="4" t="s">
        <v>19</v>
      </c>
      <c r="H776" s="4" t="str" cm="1">
        <f t="array" ref="H776">_xlfn.IFS(I776&lt;30, "Young Adult", I776&gt;=50, "Senior", I776&gt;=30, "Adult")</f>
        <v>Adult</v>
      </c>
      <c r="I776" s="4">
        <v>46</v>
      </c>
      <c r="J776" s="4" t="s">
        <v>24</v>
      </c>
      <c r="K776" s="4">
        <v>4</v>
      </c>
      <c r="L776" s="5">
        <v>25</v>
      </c>
      <c r="M776" s="5">
        <f>K776 * L776</f>
        <v>100</v>
      </c>
      <c r="N776" s="5">
        <f>M776 * $Q$4</f>
        <v>1.5</v>
      </c>
      <c r="O776" s="5">
        <f>M776* $Q$5</f>
        <v>2</v>
      </c>
    </row>
    <row r="777" spans="1:15">
      <c r="A777" s="2">
        <v>776</v>
      </c>
      <c r="B777" s="4">
        <f t="shared" si="36"/>
        <v>31</v>
      </c>
      <c r="C777" s="4">
        <f t="shared" si="37"/>
        <v>10</v>
      </c>
      <c r="D777" s="4">
        <f t="shared" si="38"/>
        <v>2023</v>
      </c>
      <c r="E777" s="3">
        <v>45230</v>
      </c>
      <c r="F777" s="4" t="s">
        <v>802</v>
      </c>
      <c r="G777" s="4" t="s">
        <v>16</v>
      </c>
      <c r="H777" s="4" t="str" cm="1">
        <f t="array" ref="H777">_xlfn.IFS(I777&lt;30, "Young Adult", I777&gt;=50, "Senior", I777&gt;=30, "Adult")</f>
        <v>Adult</v>
      </c>
      <c r="I777" s="4">
        <v>35</v>
      </c>
      <c r="J777" s="4" t="s">
        <v>20</v>
      </c>
      <c r="K777" s="4">
        <v>3</v>
      </c>
      <c r="L777" s="5">
        <v>30</v>
      </c>
      <c r="M777" s="5">
        <f>K777 * L777</f>
        <v>90</v>
      </c>
      <c r="N777" s="5">
        <f>M777 * $Q$4</f>
        <v>1.3499999999999999</v>
      </c>
      <c r="O777" s="5">
        <f>M777* $Q$5</f>
        <v>1.8</v>
      </c>
    </row>
    <row r="778" spans="1:15">
      <c r="A778" s="2">
        <v>777</v>
      </c>
      <c r="B778" s="4">
        <f t="shared" si="36"/>
        <v>20</v>
      </c>
      <c r="C778" s="4">
        <f t="shared" si="37"/>
        <v>12</v>
      </c>
      <c r="D778" s="4">
        <f t="shared" si="38"/>
        <v>2023</v>
      </c>
      <c r="E778" s="3">
        <v>45280</v>
      </c>
      <c r="F778" s="4" t="s">
        <v>803</v>
      </c>
      <c r="G778" s="4" t="s">
        <v>16</v>
      </c>
      <c r="H778" s="4" t="str" cm="1">
        <f t="array" ref="H778">_xlfn.IFS(I778&lt;30, "Young Adult", I778&gt;=50, "Senior", I778&gt;=30, "Adult")</f>
        <v>Adult</v>
      </c>
      <c r="I778" s="4">
        <v>48</v>
      </c>
      <c r="J778" s="4" t="s">
        <v>24</v>
      </c>
      <c r="K778" s="4">
        <v>3</v>
      </c>
      <c r="L778" s="5">
        <v>50</v>
      </c>
      <c r="M778" s="5">
        <f>K778 * L778</f>
        <v>150</v>
      </c>
      <c r="N778" s="5">
        <f>M778 * $Q$4</f>
        <v>2.25</v>
      </c>
      <c r="O778" s="5">
        <f>M778* $Q$5</f>
        <v>3</v>
      </c>
    </row>
    <row r="779" spans="1:15">
      <c r="A779" s="2">
        <v>778</v>
      </c>
      <c r="B779" s="4">
        <f t="shared" si="36"/>
        <v>18</v>
      </c>
      <c r="C779" s="4">
        <f t="shared" si="37"/>
        <v>11</v>
      </c>
      <c r="D779" s="4">
        <f t="shared" si="38"/>
        <v>2023</v>
      </c>
      <c r="E779" s="3">
        <v>45248</v>
      </c>
      <c r="F779" s="4" t="s">
        <v>804</v>
      </c>
      <c r="G779" s="4" t="s">
        <v>19</v>
      </c>
      <c r="H779" s="4" t="str" cm="1">
        <f t="array" ref="H779">_xlfn.IFS(I779&lt;30, "Young Adult", I779&gt;=50, "Senior", I779&gt;=30, "Adult")</f>
        <v>Adult</v>
      </c>
      <c r="I779" s="4">
        <v>47</v>
      </c>
      <c r="J779" s="4" t="s">
        <v>17</v>
      </c>
      <c r="K779" s="4">
        <v>4</v>
      </c>
      <c r="L779" s="5">
        <v>25</v>
      </c>
      <c r="M779" s="5">
        <f>K779 * L779</f>
        <v>100</v>
      </c>
      <c r="N779" s="5">
        <f>M779 * $Q$4</f>
        <v>1.5</v>
      </c>
      <c r="O779" s="5">
        <f>M779* $Q$5</f>
        <v>2</v>
      </c>
    </row>
    <row r="780" spans="1:15">
      <c r="A780" s="2">
        <v>779</v>
      </c>
      <c r="B780" s="4">
        <f t="shared" si="36"/>
        <v>5</v>
      </c>
      <c r="C780" s="4">
        <f t="shared" si="37"/>
        <v>5</v>
      </c>
      <c r="D780" s="4">
        <f t="shared" si="38"/>
        <v>2023</v>
      </c>
      <c r="E780" s="3">
        <v>45051</v>
      </c>
      <c r="F780" s="4" t="s">
        <v>805</v>
      </c>
      <c r="G780" s="4" t="s">
        <v>19</v>
      </c>
      <c r="H780" s="4" t="str" cm="1">
        <f t="array" ref="H780">_xlfn.IFS(I780&lt;30, "Young Adult", I780&gt;=50, "Senior", I780&gt;=30, "Adult")</f>
        <v>Senior</v>
      </c>
      <c r="I780" s="4">
        <v>56</v>
      </c>
      <c r="J780" s="4" t="s">
        <v>24</v>
      </c>
      <c r="K780" s="4">
        <v>2</v>
      </c>
      <c r="L780" s="5">
        <v>500</v>
      </c>
      <c r="M780" s="5">
        <f>K780 * L780</f>
        <v>1000</v>
      </c>
      <c r="N780" s="5">
        <f>M780 * $Q$4</f>
        <v>15</v>
      </c>
      <c r="O780" s="5">
        <f>M780* $Q$5</f>
        <v>20</v>
      </c>
    </row>
    <row r="781" spans="1:15">
      <c r="A781" s="2">
        <v>780</v>
      </c>
      <c r="B781" s="4">
        <f t="shared" si="36"/>
        <v>22</v>
      </c>
      <c r="C781" s="4">
        <f t="shared" si="37"/>
        <v>2</v>
      </c>
      <c r="D781" s="4">
        <f t="shared" si="38"/>
        <v>2023</v>
      </c>
      <c r="E781" s="3">
        <v>44979</v>
      </c>
      <c r="F781" s="4" t="s">
        <v>806</v>
      </c>
      <c r="G781" s="4" t="s">
        <v>16</v>
      </c>
      <c r="H781" s="4" t="str" cm="1">
        <f t="array" ref="H781">_xlfn.IFS(I781&lt;30, "Young Adult", I781&gt;=50, "Senior", I781&gt;=30, "Adult")</f>
        <v>Senior</v>
      </c>
      <c r="I781" s="4">
        <v>52</v>
      </c>
      <c r="J781" s="4" t="s">
        <v>24</v>
      </c>
      <c r="K781" s="4">
        <v>2</v>
      </c>
      <c r="L781" s="5">
        <v>25</v>
      </c>
      <c r="M781" s="5">
        <f>K781 * L781</f>
        <v>50</v>
      </c>
      <c r="N781" s="5">
        <f>M781 * $Q$4</f>
        <v>0.75</v>
      </c>
      <c r="O781" s="5">
        <f>M781* $Q$5</f>
        <v>1</v>
      </c>
    </row>
    <row r="782" spans="1:15">
      <c r="A782" s="2">
        <v>781</v>
      </c>
      <c r="B782" s="4">
        <f t="shared" si="36"/>
        <v>23</v>
      </c>
      <c r="C782" s="4">
        <f t="shared" si="37"/>
        <v>12</v>
      </c>
      <c r="D782" s="4">
        <f t="shared" si="38"/>
        <v>2023</v>
      </c>
      <c r="E782" s="3">
        <v>45283</v>
      </c>
      <c r="F782" s="4" t="s">
        <v>807</v>
      </c>
      <c r="G782" s="4" t="s">
        <v>16</v>
      </c>
      <c r="H782" s="4" t="str" cm="1">
        <f t="array" ref="H782">_xlfn.IFS(I782&lt;30, "Young Adult", I782&gt;=50, "Senior", I782&gt;=30, "Adult")</f>
        <v>Adult</v>
      </c>
      <c r="I782" s="4">
        <v>35</v>
      </c>
      <c r="J782" s="4" t="s">
        <v>17</v>
      </c>
      <c r="K782" s="4">
        <v>1</v>
      </c>
      <c r="L782" s="5">
        <v>500</v>
      </c>
      <c r="M782" s="5">
        <f>K782 * L782</f>
        <v>500</v>
      </c>
      <c r="N782" s="5">
        <f>M782 * $Q$4</f>
        <v>7.5</v>
      </c>
      <c r="O782" s="5">
        <f>M782* $Q$5</f>
        <v>10</v>
      </c>
    </row>
    <row r="783" spans="1:15">
      <c r="A783" s="2">
        <v>782</v>
      </c>
      <c r="B783" s="4">
        <f t="shared" si="36"/>
        <v>4</v>
      </c>
      <c r="C783" s="4">
        <f t="shared" si="37"/>
        <v>6</v>
      </c>
      <c r="D783" s="4">
        <f t="shared" si="38"/>
        <v>2023</v>
      </c>
      <c r="E783" s="3">
        <v>45081</v>
      </c>
      <c r="F783" s="4" t="s">
        <v>808</v>
      </c>
      <c r="G783" s="4" t="s">
        <v>16</v>
      </c>
      <c r="H783" s="4" t="str" cm="1">
        <f t="array" ref="H783">_xlfn.IFS(I783&lt;30, "Young Adult", I783&gt;=50, "Senior", I783&gt;=30, "Adult")</f>
        <v>Senior</v>
      </c>
      <c r="I783" s="4">
        <v>59</v>
      </c>
      <c r="J783" s="4" t="s">
        <v>20</v>
      </c>
      <c r="K783" s="4">
        <v>3</v>
      </c>
      <c r="L783" s="5">
        <v>300</v>
      </c>
      <c r="M783" s="5">
        <f>K783 * L783</f>
        <v>900</v>
      </c>
      <c r="N783" s="5">
        <f>M783 * $Q$4</f>
        <v>13.5</v>
      </c>
      <c r="O783" s="5">
        <f>M783* $Q$5</f>
        <v>18</v>
      </c>
    </row>
    <row r="784" spans="1:15">
      <c r="A784" s="2">
        <v>783</v>
      </c>
      <c r="B784" s="4">
        <f t="shared" si="36"/>
        <v>17</v>
      </c>
      <c r="C784" s="4">
        <f t="shared" si="37"/>
        <v>12</v>
      </c>
      <c r="D784" s="4">
        <f t="shared" si="38"/>
        <v>2023</v>
      </c>
      <c r="E784" s="3">
        <v>45277</v>
      </c>
      <c r="F784" s="4" t="s">
        <v>809</v>
      </c>
      <c r="G784" s="4" t="s">
        <v>19</v>
      </c>
      <c r="H784" s="4" t="str" cm="1">
        <f t="array" ref="H784">_xlfn.IFS(I784&lt;30, "Young Adult", I784&gt;=50, "Senior", I784&gt;=30, "Adult")</f>
        <v>Senior</v>
      </c>
      <c r="I784" s="4">
        <v>56</v>
      </c>
      <c r="J784" s="4" t="s">
        <v>20</v>
      </c>
      <c r="K784" s="4">
        <v>1</v>
      </c>
      <c r="L784" s="5">
        <v>300</v>
      </c>
      <c r="M784" s="5">
        <f>K784 * L784</f>
        <v>300</v>
      </c>
      <c r="N784" s="5">
        <f>M784 * $Q$4</f>
        <v>4.5</v>
      </c>
      <c r="O784" s="5">
        <f>M784* $Q$5</f>
        <v>6</v>
      </c>
    </row>
    <row r="785" spans="1:15">
      <c r="A785" s="2">
        <v>784</v>
      </c>
      <c r="B785" s="4">
        <f t="shared" si="36"/>
        <v>4</v>
      </c>
      <c r="C785" s="4">
        <f t="shared" si="37"/>
        <v>11</v>
      </c>
      <c r="D785" s="4">
        <f t="shared" si="38"/>
        <v>2023</v>
      </c>
      <c r="E785" s="3">
        <v>45234</v>
      </c>
      <c r="F785" s="4" t="s">
        <v>810</v>
      </c>
      <c r="G785" s="4" t="s">
        <v>19</v>
      </c>
      <c r="H785" s="4" t="str" cm="1">
        <f t="array" ref="H785">_xlfn.IFS(I785&lt;30, "Young Adult", I785&gt;=50, "Senior", I785&gt;=30, "Adult")</f>
        <v>Adult</v>
      </c>
      <c r="I785" s="4">
        <v>34</v>
      </c>
      <c r="J785" s="4" t="s">
        <v>24</v>
      </c>
      <c r="K785" s="4">
        <v>1</v>
      </c>
      <c r="L785" s="5">
        <v>500</v>
      </c>
      <c r="M785" s="5">
        <f>K785 * L785</f>
        <v>500</v>
      </c>
      <c r="N785" s="5">
        <f>M785 * $Q$4</f>
        <v>7.5</v>
      </c>
      <c r="O785" s="5">
        <f>M785* $Q$5</f>
        <v>10</v>
      </c>
    </row>
    <row r="786" spans="1:15">
      <c r="A786" s="2">
        <v>785</v>
      </c>
      <c r="B786" s="4">
        <f t="shared" si="36"/>
        <v>3</v>
      </c>
      <c r="C786" s="4">
        <f t="shared" si="37"/>
        <v>3</v>
      </c>
      <c r="D786" s="4">
        <f t="shared" si="38"/>
        <v>2023</v>
      </c>
      <c r="E786" s="3">
        <v>44988</v>
      </c>
      <c r="F786" s="4" t="s">
        <v>811</v>
      </c>
      <c r="G786" s="4" t="s">
        <v>19</v>
      </c>
      <c r="H786" s="4" t="str" cm="1">
        <f t="array" ref="H786">_xlfn.IFS(I786&lt;30, "Young Adult", I786&gt;=50, "Senior", I786&gt;=30, "Adult")</f>
        <v>Adult</v>
      </c>
      <c r="I786" s="4">
        <v>31</v>
      </c>
      <c r="J786" s="4" t="s">
        <v>17</v>
      </c>
      <c r="K786" s="4">
        <v>4</v>
      </c>
      <c r="L786" s="5">
        <v>50</v>
      </c>
      <c r="M786" s="5">
        <f>K786 * L786</f>
        <v>200</v>
      </c>
      <c r="N786" s="5">
        <f>M786 * $Q$4</f>
        <v>3</v>
      </c>
      <c r="O786" s="5">
        <f>M786* $Q$5</f>
        <v>4</v>
      </c>
    </row>
    <row r="787" spans="1:15">
      <c r="A787" s="2">
        <v>786</v>
      </c>
      <c r="B787" s="4">
        <f t="shared" si="36"/>
        <v>17</v>
      </c>
      <c r="C787" s="4">
        <f t="shared" si="37"/>
        <v>10</v>
      </c>
      <c r="D787" s="4">
        <f t="shared" si="38"/>
        <v>2023</v>
      </c>
      <c r="E787" s="3">
        <v>45216</v>
      </c>
      <c r="F787" s="4" t="s">
        <v>812</v>
      </c>
      <c r="G787" s="4" t="s">
        <v>16</v>
      </c>
      <c r="H787" s="4" t="str" cm="1">
        <f t="array" ref="H787">_xlfn.IFS(I787&lt;30, "Young Adult", I787&gt;=50, "Senior", I787&gt;=30, "Adult")</f>
        <v>Adult</v>
      </c>
      <c r="I787" s="4">
        <v>48</v>
      </c>
      <c r="J787" s="4" t="s">
        <v>20</v>
      </c>
      <c r="K787" s="4">
        <v>4</v>
      </c>
      <c r="L787" s="5">
        <v>25</v>
      </c>
      <c r="M787" s="5">
        <f>K787 * L787</f>
        <v>100</v>
      </c>
      <c r="N787" s="5">
        <f>M787 * $Q$4</f>
        <v>1.5</v>
      </c>
      <c r="O787" s="5">
        <f>M787* $Q$5</f>
        <v>2</v>
      </c>
    </row>
    <row r="788" spans="1:15">
      <c r="A788" s="2">
        <v>787</v>
      </c>
      <c r="B788" s="4">
        <f t="shared" si="36"/>
        <v>22</v>
      </c>
      <c r="C788" s="4">
        <f t="shared" si="37"/>
        <v>1</v>
      </c>
      <c r="D788" s="4">
        <f t="shared" si="38"/>
        <v>2023</v>
      </c>
      <c r="E788" s="3">
        <v>44948</v>
      </c>
      <c r="F788" s="4" t="s">
        <v>813</v>
      </c>
      <c r="G788" s="4" t="s">
        <v>16</v>
      </c>
      <c r="H788" s="4" t="str" cm="1">
        <f t="array" ref="H788">_xlfn.IFS(I788&lt;30, "Young Adult", I788&gt;=50, "Senior", I788&gt;=30, "Adult")</f>
        <v>Adult</v>
      </c>
      <c r="I788" s="4">
        <v>41</v>
      </c>
      <c r="J788" s="4" t="s">
        <v>24</v>
      </c>
      <c r="K788" s="4">
        <v>1</v>
      </c>
      <c r="L788" s="5">
        <v>25</v>
      </c>
      <c r="M788" s="5">
        <f>K788 * L788</f>
        <v>25</v>
      </c>
      <c r="N788" s="5">
        <f>M788 * $Q$4</f>
        <v>0.375</v>
      </c>
      <c r="O788" s="5">
        <f>M788* $Q$5</f>
        <v>0.5</v>
      </c>
    </row>
    <row r="789" spans="1:15">
      <c r="A789" s="2">
        <v>788</v>
      </c>
      <c r="B789" s="4">
        <f t="shared" si="36"/>
        <v>27</v>
      </c>
      <c r="C789" s="4">
        <f t="shared" si="37"/>
        <v>6</v>
      </c>
      <c r="D789" s="4">
        <f t="shared" si="38"/>
        <v>2023</v>
      </c>
      <c r="E789" s="3">
        <v>45104</v>
      </c>
      <c r="F789" s="4" t="s">
        <v>814</v>
      </c>
      <c r="G789" s="4" t="s">
        <v>19</v>
      </c>
      <c r="H789" s="4" t="str" cm="1">
        <f t="array" ref="H789">_xlfn.IFS(I789&lt;30, "Young Adult", I789&gt;=50, "Senior", I789&gt;=30, "Adult")</f>
        <v>Senior</v>
      </c>
      <c r="I789" s="4">
        <v>52</v>
      </c>
      <c r="J789" s="4" t="s">
        <v>17</v>
      </c>
      <c r="K789" s="4">
        <v>3</v>
      </c>
      <c r="L789" s="5">
        <v>300</v>
      </c>
      <c r="M789" s="5">
        <f>K789 * L789</f>
        <v>900</v>
      </c>
      <c r="N789" s="5">
        <f>M789 * $Q$4</f>
        <v>13.5</v>
      </c>
      <c r="O789" s="5">
        <f>M789* $Q$5</f>
        <v>18</v>
      </c>
    </row>
    <row r="790" spans="1:15">
      <c r="A790" s="2">
        <v>789</v>
      </c>
      <c r="B790" s="4">
        <f t="shared" si="36"/>
        <v>30</v>
      </c>
      <c r="C790" s="4">
        <f t="shared" si="37"/>
        <v>9</v>
      </c>
      <c r="D790" s="4">
        <f t="shared" si="38"/>
        <v>2023</v>
      </c>
      <c r="E790" s="3">
        <v>45199</v>
      </c>
      <c r="F790" s="4" t="s">
        <v>815</v>
      </c>
      <c r="G790" s="4" t="s">
        <v>19</v>
      </c>
      <c r="H790" s="4" t="str" cm="1">
        <f t="array" ref="H790">_xlfn.IFS(I790&lt;30, "Young Adult", I790&gt;=50, "Senior", I790&gt;=30, "Adult")</f>
        <v>Senior</v>
      </c>
      <c r="I790" s="4">
        <v>61</v>
      </c>
      <c r="J790" s="4" t="s">
        <v>20</v>
      </c>
      <c r="K790" s="4">
        <v>4</v>
      </c>
      <c r="L790" s="5">
        <v>500</v>
      </c>
      <c r="M790" s="5">
        <f>K790 * L790</f>
        <v>2000</v>
      </c>
      <c r="N790" s="5">
        <f>M790 * $Q$4</f>
        <v>30</v>
      </c>
      <c r="O790" s="5">
        <f>M790* $Q$5</f>
        <v>40</v>
      </c>
    </row>
    <row r="791" spans="1:15">
      <c r="A791" s="2">
        <v>790</v>
      </c>
      <c r="B791" s="4">
        <f t="shared" si="36"/>
        <v>8</v>
      </c>
      <c r="C791" s="4">
        <f t="shared" si="37"/>
        <v>8</v>
      </c>
      <c r="D791" s="4">
        <f t="shared" si="38"/>
        <v>2023</v>
      </c>
      <c r="E791" s="3">
        <v>45146</v>
      </c>
      <c r="F791" s="4" t="s">
        <v>816</v>
      </c>
      <c r="G791" s="4" t="s">
        <v>16</v>
      </c>
      <c r="H791" s="4" t="str" cm="1">
        <f t="array" ref="H791">_xlfn.IFS(I791&lt;30, "Young Adult", I791&gt;=50, "Senior", I791&gt;=30, "Adult")</f>
        <v>Senior</v>
      </c>
      <c r="I791" s="4">
        <v>62</v>
      </c>
      <c r="J791" s="4" t="s">
        <v>20</v>
      </c>
      <c r="K791" s="4">
        <v>1</v>
      </c>
      <c r="L791" s="5">
        <v>25</v>
      </c>
      <c r="M791" s="5">
        <f>K791 * L791</f>
        <v>25</v>
      </c>
      <c r="N791" s="5">
        <f>M791 * $Q$4</f>
        <v>0.375</v>
      </c>
      <c r="O791" s="5">
        <f>M791* $Q$5</f>
        <v>0.5</v>
      </c>
    </row>
    <row r="792" spans="1:15">
      <c r="A792" s="2">
        <v>791</v>
      </c>
      <c r="B792" s="4">
        <f t="shared" si="36"/>
        <v>5</v>
      </c>
      <c r="C792" s="4">
        <f t="shared" si="37"/>
        <v>12</v>
      </c>
      <c r="D792" s="4">
        <f t="shared" si="38"/>
        <v>2023</v>
      </c>
      <c r="E792" s="3">
        <v>45265</v>
      </c>
      <c r="F792" s="4" t="s">
        <v>817</v>
      </c>
      <c r="G792" s="4" t="s">
        <v>19</v>
      </c>
      <c r="H792" s="4" t="str" cm="1">
        <f t="array" ref="H792">_xlfn.IFS(I792&lt;30, "Young Adult", I792&gt;=50, "Senior", I792&gt;=30, "Adult")</f>
        <v>Senior</v>
      </c>
      <c r="I792" s="4">
        <v>51</v>
      </c>
      <c r="J792" s="4" t="s">
        <v>17</v>
      </c>
      <c r="K792" s="4">
        <v>1</v>
      </c>
      <c r="L792" s="5">
        <v>25</v>
      </c>
      <c r="M792" s="5">
        <f>K792 * L792</f>
        <v>25</v>
      </c>
      <c r="N792" s="5">
        <f>M792 * $Q$4</f>
        <v>0.375</v>
      </c>
      <c r="O792" s="5">
        <f>M792* $Q$5</f>
        <v>0.5</v>
      </c>
    </row>
    <row r="793" spans="1:15">
      <c r="A793" s="2">
        <v>792</v>
      </c>
      <c r="B793" s="4">
        <f t="shared" si="36"/>
        <v>9</v>
      </c>
      <c r="C793" s="4">
        <f t="shared" si="37"/>
        <v>7</v>
      </c>
      <c r="D793" s="4">
        <f t="shared" si="38"/>
        <v>2023</v>
      </c>
      <c r="E793" s="3">
        <v>45116</v>
      </c>
      <c r="F793" s="4" t="s">
        <v>818</v>
      </c>
      <c r="G793" s="4" t="s">
        <v>19</v>
      </c>
      <c r="H793" s="4" t="str" cm="1">
        <f t="array" ref="H793">_xlfn.IFS(I793&lt;30, "Young Adult", I793&gt;=50, "Senior", I793&gt;=30, "Adult")</f>
        <v>Young Adult</v>
      </c>
      <c r="I793" s="4">
        <v>20</v>
      </c>
      <c r="J793" s="4" t="s">
        <v>17</v>
      </c>
      <c r="K793" s="4">
        <v>1</v>
      </c>
      <c r="L793" s="5">
        <v>50</v>
      </c>
      <c r="M793" s="5">
        <f>K793 * L793</f>
        <v>50</v>
      </c>
      <c r="N793" s="5">
        <f>M793 * $Q$4</f>
        <v>0.75</v>
      </c>
      <c r="O793" s="5">
        <f>M793* $Q$5</f>
        <v>1</v>
      </c>
    </row>
    <row r="794" spans="1:15">
      <c r="A794" s="2">
        <v>793</v>
      </c>
      <c r="B794" s="4">
        <f t="shared" si="36"/>
        <v>5</v>
      </c>
      <c r="C794" s="4">
        <f t="shared" si="37"/>
        <v>2</v>
      </c>
      <c r="D794" s="4">
        <f t="shared" si="38"/>
        <v>2023</v>
      </c>
      <c r="E794" s="3">
        <v>44962</v>
      </c>
      <c r="F794" s="4" t="s">
        <v>819</v>
      </c>
      <c r="G794" s="4" t="s">
        <v>16</v>
      </c>
      <c r="H794" s="4" t="str" cm="1">
        <f t="array" ref="H794">_xlfn.IFS(I794&lt;30, "Young Adult", I794&gt;=50, "Senior", I794&gt;=30, "Adult")</f>
        <v>Senior</v>
      </c>
      <c r="I794" s="4">
        <v>54</v>
      </c>
      <c r="J794" s="4" t="s">
        <v>17</v>
      </c>
      <c r="K794" s="4">
        <v>1</v>
      </c>
      <c r="L794" s="5">
        <v>30</v>
      </c>
      <c r="M794" s="5">
        <f>K794 * L794</f>
        <v>30</v>
      </c>
      <c r="N794" s="5">
        <f>M794 * $Q$4</f>
        <v>0.44999999999999996</v>
      </c>
      <c r="O794" s="5">
        <f>M794* $Q$5</f>
        <v>0.6</v>
      </c>
    </row>
    <row r="795" spans="1:15">
      <c r="A795" s="2">
        <v>794</v>
      </c>
      <c r="B795" s="4">
        <f t="shared" si="36"/>
        <v>17</v>
      </c>
      <c r="C795" s="4">
        <f t="shared" si="37"/>
        <v>9</v>
      </c>
      <c r="D795" s="4">
        <f t="shared" si="38"/>
        <v>2023</v>
      </c>
      <c r="E795" s="3">
        <v>45186</v>
      </c>
      <c r="F795" s="4" t="s">
        <v>820</v>
      </c>
      <c r="G795" s="4" t="s">
        <v>19</v>
      </c>
      <c r="H795" s="4" t="str" cm="1">
        <f t="array" ref="H795">_xlfn.IFS(I795&lt;30, "Young Adult", I795&gt;=50, "Senior", I795&gt;=30, "Adult")</f>
        <v>Senior</v>
      </c>
      <c r="I795" s="4">
        <v>60</v>
      </c>
      <c r="J795" s="4" t="s">
        <v>17</v>
      </c>
      <c r="K795" s="4">
        <v>1</v>
      </c>
      <c r="L795" s="5">
        <v>300</v>
      </c>
      <c r="M795" s="5">
        <f>K795 * L795</f>
        <v>300</v>
      </c>
      <c r="N795" s="5">
        <f>M795 * $Q$4</f>
        <v>4.5</v>
      </c>
      <c r="O795" s="5">
        <f>M795* $Q$5</f>
        <v>6</v>
      </c>
    </row>
    <row r="796" spans="1:15">
      <c r="A796" s="2">
        <v>795</v>
      </c>
      <c r="B796" s="4">
        <f t="shared" si="36"/>
        <v>28</v>
      </c>
      <c r="C796" s="4">
        <f t="shared" si="37"/>
        <v>11</v>
      </c>
      <c r="D796" s="4">
        <f t="shared" si="38"/>
        <v>2023</v>
      </c>
      <c r="E796" s="3">
        <v>45258</v>
      </c>
      <c r="F796" s="4" t="s">
        <v>821</v>
      </c>
      <c r="G796" s="4" t="s">
        <v>16</v>
      </c>
      <c r="H796" s="4" t="str" cm="1">
        <f t="array" ref="H796">_xlfn.IFS(I796&lt;30, "Young Adult", I796&gt;=50, "Senior", I796&gt;=30, "Adult")</f>
        <v>Senior</v>
      </c>
      <c r="I796" s="4">
        <v>57</v>
      </c>
      <c r="J796" s="4" t="s">
        <v>24</v>
      </c>
      <c r="K796" s="4">
        <v>1</v>
      </c>
      <c r="L796" s="5">
        <v>300</v>
      </c>
      <c r="M796" s="5">
        <f>K796 * L796</f>
        <v>300</v>
      </c>
      <c r="N796" s="5">
        <f>M796 * $Q$4</f>
        <v>4.5</v>
      </c>
      <c r="O796" s="5">
        <f>M796* $Q$5</f>
        <v>6</v>
      </c>
    </row>
    <row r="797" spans="1:15">
      <c r="A797" s="2">
        <v>796</v>
      </c>
      <c r="B797" s="4">
        <f t="shared" si="36"/>
        <v>24</v>
      </c>
      <c r="C797" s="4">
        <f t="shared" si="37"/>
        <v>6</v>
      </c>
      <c r="D797" s="4">
        <f t="shared" si="38"/>
        <v>2023</v>
      </c>
      <c r="E797" s="3">
        <v>45101</v>
      </c>
      <c r="F797" s="4" t="s">
        <v>822</v>
      </c>
      <c r="G797" s="4" t="s">
        <v>16</v>
      </c>
      <c r="H797" s="4" t="str" cm="1">
        <f t="array" ref="H797">_xlfn.IFS(I797&lt;30, "Young Adult", I797&gt;=50, "Senior", I797&gt;=30, "Adult")</f>
        <v>Adult</v>
      </c>
      <c r="I797" s="4">
        <v>43</v>
      </c>
      <c r="J797" s="4" t="s">
        <v>17</v>
      </c>
      <c r="K797" s="4">
        <v>4</v>
      </c>
      <c r="L797" s="5">
        <v>30</v>
      </c>
      <c r="M797" s="5">
        <f>K797 * L797</f>
        <v>120</v>
      </c>
      <c r="N797" s="5">
        <f>M797 * $Q$4</f>
        <v>1.7999999999999998</v>
      </c>
      <c r="O797" s="5">
        <f>M797* $Q$5</f>
        <v>2.4</v>
      </c>
    </row>
    <row r="798" spans="1:15">
      <c r="A798" s="2">
        <v>797</v>
      </c>
      <c r="B798" s="4">
        <f t="shared" si="36"/>
        <v>7</v>
      </c>
      <c r="C798" s="4">
        <f t="shared" si="37"/>
        <v>1</v>
      </c>
      <c r="D798" s="4">
        <f t="shared" si="38"/>
        <v>2023</v>
      </c>
      <c r="E798" s="3">
        <v>44933</v>
      </c>
      <c r="F798" s="4" t="s">
        <v>823</v>
      </c>
      <c r="G798" s="4" t="s">
        <v>16</v>
      </c>
      <c r="H798" s="4" t="str" cm="1">
        <f t="array" ref="H798">_xlfn.IFS(I798&lt;30, "Young Adult", I798&gt;=50, "Senior", I798&gt;=30, "Adult")</f>
        <v>Adult</v>
      </c>
      <c r="I798" s="4">
        <v>40</v>
      </c>
      <c r="J798" s="4" t="s">
        <v>20</v>
      </c>
      <c r="K798" s="4">
        <v>3</v>
      </c>
      <c r="L798" s="5">
        <v>25</v>
      </c>
      <c r="M798" s="5">
        <f>K798 * L798</f>
        <v>75</v>
      </c>
      <c r="N798" s="5">
        <f>M798 * $Q$4</f>
        <v>1.125</v>
      </c>
      <c r="O798" s="5">
        <f>M798* $Q$5</f>
        <v>1.5</v>
      </c>
    </row>
    <row r="799" spans="1:15">
      <c r="A799" s="2">
        <v>798</v>
      </c>
      <c r="B799" s="4">
        <f t="shared" si="36"/>
        <v>4</v>
      </c>
      <c r="C799" s="4">
        <f t="shared" si="37"/>
        <v>8</v>
      </c>
      <c r="D799" s="4">
        <f t="shared" si="38"/>
        <v>2023</v>
      </c>
      <c r="E799" s="3">
        <v>45142</v>
      </c>
      <c r="F799" s="4" t="s">
        <v>824</v>
      </c>
      <c r="G799" s="4" t="s">
        <v>16</v>
      </c>
      <c r="H799" s="4" t="str" cm="1">
        <f t="array" ref="H799">_xlfn.IFS(I799&lt;30, "Young Adult", I799&gt;=50, "Senior", I799&gt;=30, "Adult")</f>
        <v>Senior</v>
      </c>
      <c r="I799" s="4">
        <v>61</v>
      </c>
      <c r="J799" s="4" t="s">
        <v>20</v>
      </c>
      <c r="K799" s="4">
        <v>1</v>
      </c>
      <c r="L799" s="5">
        <v>50</v>
      </c>
      <c r="M799" s="5">
        <f>K799 * L799</f>
        <v>50</v>
      </c>
      <c r="N799" s="5">
        <f>M799 * $Q$4</f>
        <v>0.75</v>
      </c>
      <c r="O799" s="5">
        <f>M799* $Q$5</f>
        <v>1</v>
      </c>
    </row>
    <row r="800" spans="1:15">
      <c r="A800" s="2">
        <v>799</v>
      </c>
      <c r="B800" s="4">
        <f t="shared" si="36"/>
        <v>8</v>
      </c>
      <c r="C800" s="4">
        <f t="shared" si="37"/>
        <v>9</v>
      </c>
      <c r="D800" s="4">
        <f t="shared" si="38"/>
        <v>2023</v>
      </c>
      <c r="E800" s="3">
        <v>45177</v>
      </c>
      <c r="F800" s="4" t="s">
        <v>825</v>
      </c>
      <c r="G800" s="4" t="s">
        <v>16</v>
      </c>
      <c r="H800" s="4" t="str" cm="1">
        <f t="array" ref="H800">_xlfn.IFS(I800&lt;30, "Young Adult", I800&gt;=50, "Senior", I800&gt;=30, "Adult")</f>
        <v>Senior</v>
      </c>
      <c r="I800" s="4">
        <v>56</v>
      </c>
      <c r="J800" s="4" t="s">
        <v>24</v>
      </c>
      <c r="K800" s="4">
        <v>2</v>
      </c>
      <c r="L800" s="5">
        <v>50</v>
      </c>
      <c r="M800" s="5">
        <f>K800 * L800</f>
        <v>100</v>
      </c>
      <c r="N800" s="5">
        <f>M800 * $Q$4</f>
        <v>1.5</v>
      </c>
      <c r="O800" s="5">
        <f>M800* $Q$5</f>
        <v>2</v>
      </c>
    </row>
    <row r="801" spans="1:15">
      <c r="A801" s="2">
        <v>800</v>
      </c>
      <c r="B801" s="4">
        <f t="shared" si="36"/>
        <v>24</v>
      </c>
      <c r="C801" s="4">
        <f t="shared" si="37"/>
        <v>2</v>
      </c>
      <c r="D801" s="4">
        <f t="shared" si="38"/>
        <v>2023</v>
      </c>
      <c r="E801" s="3">
        <v>44981</v>
      </c>
      <c r="F801" s="4" t="s">
        <v>826</v>
      </c>
      <c r="G801" s="4" t="s">
        <v>16</v>
      </c>
      <c r="H801" s="4" t="str" cm="1">
        <f t="array" ref="H801">_xlfn.IFS(I801&lt;30, "Young Adult", I801&gt;=50, "Senior", I801&gt;=30, "Adult")</f>
        <v>Adult</v>
      </c>
      <c r="I801" s="4">
        <v>32</v>
      </c>
      <c r="J801" s="4" t="s">
        <v>20</v>
      </c>
      <c r="K801" s="4">
        <v>4</v>
      </c>
      <c r="L801" s="5">
        <v>300</v>
      </c>
      <c r="M801" s="5">
        <f>K801 * L801</f>
        <v>1200</v>
      </c>
      <c r="N801" s="5">
        <f>M801 * $Q$4</f>
        <v>18</v>
      </c>
      <c r="O801" s="5">
        <f>M801* $Q$5</f>
        <v>24</v>
      </c>
    </row>
    <row r="802" spans="1:15">
      <c r="A802" s="2">
        <v>801</v>
      </c>
      <c r="B802" s="4">
        <f t="shared" si="36"/>
        <v>10</v>
      </c>
      <c r="C802" s="4">
        <f t="shared" si="37"/>
        <v>8</v>
      </c>
      <c r="D802" s="4">
        <f t="shared" si="38"/>
        <v>2023</v>
      </c>
      <c r="E802" s="3">
        <v>45148</v>
      </c>
      <c r="F802" s="4" t="s">
        <v>827</v>
      </c>
      <c r="G802" s="4" t="s">
        <v>16</v>
      </c>
      <c r="H802" s="4" t="str" cm="1">
        <f t="array" ref="H802">_xlfn.IFS(I802&lt;30, "Young Adult", I802&gt;=50, "Senior", I802&gt;=30, "Adult")</f>
        <v>Young Adult</v>
      </c>
      <c r="I802" s="4">
        <v>21</v>
      </c>
      <c r="J802" s="4" t="s">
        <v>20</v>
      </c>
      <c r="K802" s="4">
        <v>4</v>
      </c>
      <c r="L802" s="5">
        <v>50</v>
      </c>
      <c r="M802" s="5">
        <f>K802 * L802</f>
        <v>200</v>
      </c>
      <c r="N802" s="5">
        <f>M802 * $Q$4</f>
        <v>3</v>
      </c>
      <c r="O802" s="5">
        <f>M802* $Q$5</f>
        <v>4</v>
      </c>
    </row>
    <row r="803" spans="1:15">
      <c r="A803" s="2">
        <v>802</v>
      </c>
      <c r="B803" s="4">
        <f t="shared" si="36"/>
        <v>5</v>
      </c>
      <c r="C803" s="4">
        <f t="shared" si="37"/>
        <v>7</v>
      </c>
      <c r="D803" s="4">
        <f t="shared" si="38"/>
        <v>2023</v>
      </c>
      <c r="E803" s="3">
        <v>45112</v>
      </c>
      <c r="F803" s="4" t="s">
        <v>828</v>
      </c>
      <c r="G803" s="4" t="s">
        <v>19</v>
      </c>
      <c r="H803" s="4" t="str" cm="1">
        <f t="array" ref="H803">_xlfn.IFS(I803&lt;30, "Young Adult", I803&gt;=50, "Senior", I803&gt;=30, "Adult")</f>
        <v>Adult</v>
      </c>
      <c r="I803" s="4">
        <v>46</v>
      </c>
      <c r="J803" s="4" t="s">
        <v>17</v>
      </c>
      <c r="K803" s="4">
        <v>1</v>
      </c>
      <c r="L803" s="5">
        <v>30</v>
      </c>
      <c r="M803" s="5">
        <f>K803 * L803</f>
        <v>30</v>
      </c>
      <c r="N803" s="5">
        <f>M803 * $Q$4</f>
        <v>0.44999999999999996</v>
      </c>
      <c r="O803" s="5">
        <f>M803* $Q$5</f>
        <v>0.6</v>
      </c>
    </row>
    <row r="804" spans="1:15">
      <c r="A804" s="2">
        <v>803</v>
      </c>
      <c r="B804" s="4">
        <f t="shared" si="36"/>
        <v>22</v>
      </c>
      <c r="C804" s="4">
        <f t="shared" si="37"/>
        <v>11</v>
      </c>
      <c r="D804" s="4">
        <f t="shared" si="38"/>
        <v>2023</v>
      </c>
      <c r="E804" s="3">
        <v>45252</v>
      </c>
      <c r="F804" s="4" t="s">
        <v>829</v>
      </c>
      <c r="G804" s="4" t="s">
        <v>16</v>
      </c>
      <c r="H804" s="4" t="str" cm="1">
        <f t="array" ref="H804">_xlfn.IFS(I804&lt;30, "Young Adult", I804&gt;=50, "Senior", I804&gt;=30, "Adult")</f>
        <v>Adult</v>
      </c>
      <c r="I804" s="4">
        <v>39</v>
      </c>
      <c r="J804" s="4" t="s">
        <v>20</v>
      </c>
      <c r="K804" s="4">
        <v>4</v>
      </c>
      <c r="L804" s="5">
        <v>25</v>
      </c>
      <c r="M804" s="5">
        <f>K804 * L804</f>
        <v>100</v>
      </c>
      <c r="N804" s="5">
        <f>M804 * $Q$4</f>
        <v>1.5</v>
      </c>
      <c r="O804" s="5">
        <f>M804* $Q$5</f>
        <v>2</v>
      </c>
    </row>
    <row r="805" spans="1:15">
      <c r="A805" s="2">
        <v>804</v>
      </c>
      <c r="B805" s="4">
        <f t="shared" si="36"/>
        <v>24</v>
      </c>
      <c r="C805" s="4">
        <f t="shared" si="37"/>
        <v>8</v>
      </c>
      <c r="D805" s="4">
        <f t="shared" si="38"/>
        <v>2023</v>
      </c>
      <c r="E805" s="3">
        <v>45162</v>
      </c>
      <c r="F805" s="4" t="s">
        <v>830</v>
      </c>
      <c r="G805" s="4" t="s">
        <v>16</v>
      </c>
      <c r="H805" s="4" t="str" cm="1">
        <f t="array" ref="H805">_xlfn.IFS(I805&lt;30, "Young Adult", I805&gt;=50, "Senior", I805&gt;=30, "Adult")</f>
        <v>Adult</v>
      </c>
      <c r="I805" s="4">
        <v>42</v>
      </c>
      <c r="J805" s="4" t="s">
        <v>24</v>
      </c>
      <c r="K805" s="4">
        <v>1</v>
      </c>
      <c r="L805" s="5">
        <v>30</v>
      </c>
      <c r="M805" s="5">
        <f>K805 * L805</f>
        <v>30</v>
      </c>
      <c r="N805" s="5">
        <f>M805 * $Q$4</f>
        <v>0.44999999999999996</v>
      </c>
      <c r="O805" s="5">
        <f>M805* $Q$5</f>
        <v>0.6</v>
      </c>
    </row>
    <row r="806" spans="1:15">
      <c r="A806" s="2">
        <v>805</v>
      </c>
      <c r="B806" s="4">
        <f t="shared" si="36"/>
        <v>29</v>
      </c>
      <c r="C806" s="4">
        <f t="shared" si="37"/>
        <v>12</v>
      </c>
      <c r="D806" s="4">
        <f t="shared" si="38"/>
        <v>2023</v>
      </c>
      <c r="E806" s="3">
        <v>45289</v>
      </c>
      <c r="F806" s="4" t="s">
        <v>831</v>
      </c>
      <c r="G806" s="4" t="s">
        <v>19</v>
      </c>
      <c r="H806" s="4" t="str" cm="1">
        <f t="array" ref="H806">_xlfn.IFS(I806&lt;30, "Young Adult", I806&gt;=50, "Senior", I806&gt;=30, "Adult")</f>
        <v>Adult</v>
      </c>
      <c r="I806" s="4">
        <v>30</v>
      </c>
      <c r="J806" s="4" t="s">
        <v>17</v>
      </c>
      <c r="K806" s="4">
        <v>3</v>
      </c>
      <c r="L806" s="5">
        <v>500</v>
      </c>
      <c r="M806" s="5">
        <f>K806 * L806</f>
        <v>1500</v>
      </c>
      <c r="N806" s="5">
        <f>M806 * $Q$4</f>
        <v>22.5</v>
      </c>
      <c r="O806" s="5">
        <f>M806* $Q$5</f>
        <v>30</v>
      </c>
    </row>
    <row r="807" spans="1:15">
      <c r="A807" s="2">
        <v>806</v>
      </c>
      <c r="B807" s="4">
        <f t="shared" si="36"/>
        <v>20</v>
      </c>
      <c r="C807" s="4">
        <f t="shared" si="37"/>
        <v>3</v>
      </c>
      <c r="D807" s="4">
        <f t="shared" si="38"/>
        <v>2023</v>
      </c>
      <c r="E807" s="3">
        <v>45005</v>
      </c>
      <c r="F807" s="4" t="s">
        <v>832</v>
      </c>
      <c r="G807" s="4" t="s">
        <v>19</v>
      </c>
      <c r="H807" s="4" t="str" cm="1">
        <f t="array" ref="H807">_xlfn.IFS(I807&lt;30, "Young Adult", I807&gt;=50, "Senior", I807&gt;=30, "Adult")</f>
        <v>Adult</v>
      </c>
      <c r="I807" s="4">
        <v>35</v>
      </c>
      <c r="J807" s="4" t="s">
        <v>17</v>
      </c>
      <c r="K807" s="4">
        <v>3</v>
      </c>
      <c r="L807" s="5">
        <v>300</v>
      </c>
      <c r="M807" s="5">
        <f>K807 * L807</f>
        <v>900</v>
      </c>
      <c r="N807" s="5">
        <f>M807 * $Q$4</f>
        <v>13.5</v>
      </c>
      <c r="O807" s="5">
        <f>M807* $Q$5</f>
        <v>18</v>
      </c>
    </row>
    <row r="808" spans="1:15">
      <c r="A808" s="2">
        <v>807</v>
      </c>
      <c r="B808" s="4">
        <f t="shared" si="36"/>
        <v>11</v>
      </c>
      <c r="C808" s="4">
        <f t="shared" si="37"/>
        <v>8</v>
      </c>
      <c r="D808" s="4">
        <f t="shared" si="38"/>
        <v>2023</v>
      </c>
      <c r="E808" s="3">
        <v>45149</v>
      </c>
      <c r="F808" s="4" t="s">
        <v>833</v>
      </c>
      <c r="G808" s="4" t="s">
        <v>19</v>
      </c>
      <c r="H808" s="4" t="str" cm="1">
        <f t="array" ref="H808">_xlfn.IFS(I808&lt;30, "Young Adult", I808&gt;=50, "Senior", I808&gt;=30, "Adult")</f>
        <v>Senior</v>
      </c>
      <c r="I808" s="4">
        <v>50</v>
      </c>
      <c r="J808" s="4" t="s">
        <v>24</v>
      </c>
      <c r="K808" s="4">
        <v>4</v>
      </c>
      <c r="L808" s="5">
        <v>50</v>
      </c>
      <c r="M808" s="5">
        <f>K808 * L808</f>
        <v>200</v>
      </c>
      <c r="N808" s="5">
        <f>M808 * $Q$4</f>
        <v>3</v>
      </c>
      <c r="O808" s="5">
        <f>M808* $Q$5</f>
        <v>4</v>
      </c>
    </row>
    <row r="809" spans="1:15">
      <c r="A809" s="2">
        <v>808</v>
      </c>
      <c r="B809" s="4">
        <f t="shared" si="36"/>
        <v>1</v>
      </c>
      <c r="C809" s="4">
        <f t="shared" si="37"/>
        <v>4</v>
      </c>
      <c r="D809" s="4">
        <f t="shared" si="38"/>
        <v>2023</v>
      </c>
      <c r="E809" s="3">
        <v>45017</v>
      </c>
      <c r="F809" s="4" t="s">
        <v>834</v>
      </c>
      <c r="G809" s="4" t="s">
        <v>16</v>
      </c>
      <c r="H809" s="4" t="str" cm="1">
        <f t="array" ref="H809">_xlfn.IFS(I809&lt;30, "Young Adult", I809&gt;=50, "Senior", I809&gt;=30, "Adult")</f>
        <v>Adult</v>
      </c>
      <c r="I809" s="4">
        <v>33</v>
      </c>
      <c r="J809" s="4" t="s">
        <v>17</v>
      </c>
      <c r="K809" s="4">
        <v>4</v>
      </c>
      <c r="L809" s="5">
        <v>500</v>
      </c>
      <c r="M809" s="5">
        <f>K809 * L809</f>
        <v>2000</v>
      </c>
      <c r="N809" s="5">
        <f>M809 * $Q$4</f>
        <v>30</v>
      </c>
      <c r="O809" s="5">
        <f>M809* $Q$5</f>
        <v>40</v>
      </c>
    </row>
    <row r="810" spans="1:15">
      <c r="A810" s="2">
        <v>809</v>
      </c>
      <c r="B810" s="4">
        <f t="shared" si="36"/>
        <v>25</v>
      </c>
      <c r="C810" s="4">
        <f t="shared" si="37"/>
        <v>9</v>
      </c>
      <c r="D810" s="4">
        <f t="shared" si="38"/>
        <v>2023</v>
      </c>
      <c r="E810" s="3">
        <v>45194</v>
      </c>
      <c r="F810" s="4" t="s">
        <v>835</v>
      </c>
      <c r="G810" s="4" t="s">
        <v>19</v>
      </c>
      <c r="H810" s="4" t="str" cm="1">
        <f t="array" ref="H810">_xlfn.IFS(I810&lt;30, "Young Adult", I810&gt;=50, "Senior", I810&gt;=30, "Adult")</f>
        <v>Senior</v>
      </c>
      <c r="I810" s="4">
        <v>62</v>
      </c>
      <c r="J810" s="4" t="s">
        <v>17</v>
      </c>
      <c r="K810" s="4">
        <v>2</v>
      </c>
      <c r="L810" s="5">
        <v>50</v>
      </c>
      <c r="M810" s="5">
        <f>K810 * L810</f>
        <v>100</v>
      </c>
      <c r="N810" s="5">
        <f>M810 * $Q$4</f>
        <v>1.5</v>
      </c>
      <c r="O810" s="5">
        <f>M810* $Q$5</f>
        <v>2</v>
      </c>
    </row>
    <row r="811" spans="1:15">
      <c r="A811" s="2">
        <v>810</v>
      </c>
      <c r="B811" s="4">
        <f t="shared" si="36"/>
        <v>30</v>
      </c>
      <c r="C811" s="4">
        <f t="shared" si="37"/>
        <v>11</v>
      </c>
      <c r="D811" s="4">
        <f t="shared" si="38"/>
        <v>2023</v>
      </c>
      <c r="E811" s="3">
        <v>45260</v>
      </c>
      <c r="F811" s="4" t="s">
        <v>836</v>
      </c>
      <c r="G811" s="4" t="s">
        <v>16</v>
      </c>
      <c r="H811" s="4" t="str" cm="1">
        <f t="array" ref="H811">_xlfn.IFS(I811&lt;30, "Young Adult", I811&gt;=50, "Senior", I811&gt;=30, "Adult")</f>
        <v>Senior</v>
      </c>
      <c r="I811" s="4">
        <v>59</v>
      </c>
      <c r="J811" s="4" t="s">
        <v>24</v>
      </c>
      <c r="K811" s="4">
        <v>4</v>
      </c>
      <c r="L811" s="5">
        <v>25</v>
      </c>
      <c r="M811" s="5">
        <f>K811 * L811</f>
        <v>100</v>
      </c>
      <c r="N811" s="5">
        <f>M811 * $Q$4</f>
        <v>1.5</v>
      </c>
      <c r="O811" s="5">
        <f>M811* $Q$5</f>
        <v>2</v>
      </c>
    </row>
    <row r="812" spans="1:15">
      <c r="A812" s="2">
        <v>811</v>
      </c>
      <c r="B812" s="4">
        <f t="shared" si="36"/>
        <v>19</v>
      </c>
      <c r="C812" s="4">
        <f t="shared" si="37"/>
        <v>5</v>
      </c>
      <c r="D812" s="4">
        <f t="shared" si="38"/>
        <v>2023</v>
      </c>
      <c r="E812" s="3">
        <v>45065</v>
      </c>
      <c r="F812" s="4" t="s">
        <v>837</v>
      </c>
      <c r="G812" s="4" t="s">
        <v>16</v>
      </c>
      <c r="H812" s="4" t="str" cm="1">
        <f t="array" ref="H812">_xlfn.IFS(I812&lt;30, "Young Adult", I812&gt;=50, "Senior", I812&gt;=30, "Adult")</f>
        <v>Senior</v>
      </c>
      <c r="I812" s="4">
        <v>61</v>
      </c>
      <c r="J812" s="4" t="s">
        <v>17</v>
      </c>
      <c r="K812" s="4">
        <v>2</v>
      </c>
      <c r="L812" s="5">
        <v>25</v>
      </c>
      <c r="M812" s="5">
        <f>K812 * L812</f>
        <v>50</v>
      </c>
      <c r="N812" s="5">
        <f>M812 * $Q$4</f>
        <v>0.75</v>
      </c>
      <c r="O812" s="5">
        <f>M812* $Q$5</f>
        <v>1</v>
      </c>
    </row>
    <row r="813" spans="1:15">
      <c r="A813" s="2">
        <v>812</v>
      </c>
      <c r="B813" s="4">
        <f t="shared" si="36"/>
        <v>12</v>
      </c>
      <c r="C813" s="4">
        <f t="shared" si="37"/>
        <v>11</v>
      </c>
      <c r="D813" s="4">
        <f t="shared" si="38"/>
        <v>2023</v>
      </c>
      <c r="E813" s="3">
        <v>45242</v>
      </c>
      <c r="F813" s="4" t="s">
        <v>838</v>
      </c>
      <c r="G813" s="4" t="s">
        <v>16</v>
      </c>
      <c r="H813" s="4" t="str" cm="1">
        <f t="array" ref="H813">_xlfn.IFS(I813&lt;30, "Young Adult", I813&gt;=50, "Senior", I813&gt;=30, "Adult")</f>
        <v>Young Adult</v>
      </c>
      <c r="I813" s="4">
        <v>19</v>
      </c>
      <c r="J813" s="4" t="s">
        <v>24</v>
      </c>
      <c r="K813" s="4">
        <v>3</v>
      </c>
      <c r="L813" s="5">
        <v>25</v>
      </c>
      <c r="M813" s="5">
        <f>K813 * L813</f>
        <v>75</v>
      </c>
      <c r="N813" s="5">
        <f>M813 * $Q$4</f>
        <v>1.125</v>
      </c>
      <c r="O813" s="5">
        <f>M813* $Q$5</f>
        <v>1.5</v>
      </c>
    </row>
    <row r="814" spans="1:15">
      <c r="A814" s="2">
        <v>813</v>
      </c>
      <c r="B814" s="4">
        <f t="shared" si="36"/>
        <v>3</v>
      </c>
      <c r="C814" s="4">
        <f t="shared" si="37"/>
        <v>10</v>
      </c>
      <c r="D814" s="4">
        <f t="shared" si="38"/>
        <v>2023</v>
      </c>
      <c r="E814" s="3">
        <v>45202</v>
      </c>
      <c r="F814" s="4" t="s">
        <v>839</v>
      </c>
      <c r="G814" s="4" t="s">
        <v>16</v>
      </c>
      <c r="H814" s="4" t="str" cm="1">
        <f t="array" ref="H814">_xlfn.IFS(I814&lt;30, "Young Adult", I814&gt;=50, "Senior", I814&gt;=30, "Adult")</f>
        <v>Senior</v>
      </c>
      <c r="I814" s="4">
        <v>52</v>
      </c>
      <c r="J814" s="4" t="s">
        <v>24</v>
      </c>
      <c r="K814" s="4">
        <v>3</v>
      </c>
      <c r="L814" s="5">
        <v>50</v>
      </c>
      <c r="M814" s="5">
        <f>K814 * L814</f>
        <v>150</v>
      </c>
      <c r="N814" s="5">
        <f>M814 * $Q$4</f>
        <v>2.25</v>
      </c>
      <c r="O814" s="5">
        <f>M814* $Q$5</f>
        <v>3</v>
      </c>
    </row>
    <row r="815" spans="1:15">
      <c r="A815" s="2">
        <v>814</v>
      </c>
      <c r="B815" s="4">
        <f t="shared" si="36"/>
        <v>5</v>
      </c>
      <c r="C815" s="4">
        <f t="shared" si="37"/>
        <v>9</v>
      </c>
      <c r="D815" s="4">
        <f t="shared" si="38"/>
        <v>2023</v>
      </c>
      <c r="E815" s="3">
        <v>45174</v>
      </c>
      <c r="F815" s="4" t="s">
        <v>840</v>
      </c>
      <c r="G815" s="4" t="s">
        <v>19</v>
      </c>
      <c r="H815" s="4" t="str" cm="1">
        <f t="array" ref="H815">_xlfn.IFS(I815&lt;30, "Young Adult", I815&gt;=50, "Senior", I815&gt;=30, "Adult")</f>
        <v>Senior</v>
      </c>
      <c r="I815" s="4">
        <v>59</v>
      </c>
      <c r="J815" s="4" t="s">
        <v>20</v>
      </c>
      <c r="K815" s="4">
        <v>1</v>
      </c>
      <c r="L815" s="5">
        <v>500</v>
      </c>
      <c r="M815" s="5">
        <f>K815 * L815</f>
        <v>500</v>
      </c>
      <c r="N815" s="5">
        <f>M815 * $Q$4</f>
        <v>7.5</v>
      </c>
      <c r="O815" s="5">
        <f>M815* $Q$5</f>
        <v>10</v>
      </c>
    </row>
    <row r="816" spans="1:15">
      <c r="A816" s="2">
        <v>815</v>
      </c>
      <c r="B816" s="4">
        <f t="shared" si="36"/>
        <v>27</v>
      </c>
      <c r="C816" s="4">
        <f t="shared" si="37"/>
        <v>8</v>
      </c>
      <c r="D816" s="4">
        <f t="shared" si="38"/>
        <v>2023</v>
      </c>
      <c r="E816" s="3">
        <v>45165</v>
      </c>
      <c r="F816" s="4" t="s">
        <v>841</v>
      </c>
      <c r="G816" s="4" t="s">
        <v>19</v>
      </c>
      <c r="H816" s="4" t="str" cm="1">
        <f t="array" ref="H816">_xlfn.IFS(I816&lt;30, "Young Adult", I816&gt;=50, "Senior", I816&gt;=30, "Adult")</f>
        <v>Senior</v>
      </c>
      <c r="I816" s="4">
        <v>51</v>
      </c>
      <c r="J816" s="4" t="s">
        <v>20</v>
      </c>
      <c r="K816" s="4">
        <v>3</v>
      </c>
      <c r="L816" s="5">
        <v>25</v>
      </c>
      <c r="M816" s="5">
        <f>K816 * L816</f>
        <v>75</v>
      </c>
      <c r="N816" s="5">
        <f>M816 * $Q$4</f>
        <v>1.125</v>
      </c>
      <c r="O816" s="5">
        <f>M816* $Q$5</f>
        <v>1.5</v>
      </c>
    </row>
    <row r="817" spans="1:15">
      <c r="A817" s="2">
        <v>816</v>
      </c>
      <c r="B817" s="4">
        <f t="shared" si="36"/>
        <v>12</v>
      </c>
      <c r="C817" s="4">
        <f t="shared" si="37"/>
        <v>8</v>
      </c>
      <c r="D817" s="4">
        <f t="shared" si="38"/>
        <v>2023</v>
      </c>
      <c r="E817" s="3">
        <v>45150</v>
      </c>
      <c r="F817" s="4" t="s">
        <v>842</v>
      </c>
      <c r="G817" s="4" t="s">
        <v>16</v>
      </c>
      <c r="H817" s="4" t="str" cm="1">
        <f t="array" ref="H817">_xlfn.IFS(I817&lt;30, "Young Adult", I817&gt;=50, "Senior", I817&gt;=30, "Adult")</f>
        <v>Adult</v>
      </c>
      <c r="I817" s="4">
        <v>47</v>
      </c>
      <c r="J817" s="4" t="s">
        <v>17</v>
      </c>
      <c r="K817" s="4">
        <v>2</v>
      </c>
      <c r="L817" s="5">
        <v>500</v>
      </c>
      <c r="M817" s="5">
        <f>K817 * L817</f>
        <v>1000</v>
      </c>
      <c r="N817" s="5">
        <f>M817 * $Q$4</f>
        <v>15</v>
      </c>
      <c r="O817" s="5">
        <f>M817* $Q$5</f>
        <v>20</v>
      </c>
    </row>
    <row r="818" spans="1:15">
      <c r="A818" s="2">
        <v>817</v>
      </c>
      <c r="B818" s="4">
        <f t="shared" si="36"/>
        <v>31</v>
      </c>
      <c r="C818" s="4">
        <f t="shared" si="37"/>
        <v>10</v>
      </c>
      <c r="D818" s="4">
        <f t="shared" si="38"/>
        <v>2023</v>
      </c>
      <c r="E818" s="3">
        <v>45230</v>
      </c>
      <c r="F818" s="4" t="s">
        <v>843</v>
      </c>
      <c r="G818" s="4" t="s">
        <v>16</v>
      </c>
      <c r="H818" s="4" t="str" cm="1">
        <f t="array" ref="H818">_xlfn.IFS(I818&lt;30, "Young Adult", I818&gt;=50, "Senior", I818&gt;=30, "Adult")</f>
        <v>Adult</v>
      </c>
      <c r="I818" s="4">
        <v>30</v>
      </c>
      <c r="J818" s="4" t="s">
        <v>17</v>
      </c>
      <c r="K818" s="4">
        <v>4</v>
      </c>
      <c r="L818" s="5">
        <v>50</v>
      </c>
      <c r="M818" s="5">
        <f>K818 * L818</f>
        <v>200</v>
      </c>
      <c r="N818" s="5">
        <f>M818 * $Q$4</f>
        <v>3</v>
      </c>
      <c r="O818" s="5">
        <f>M818* $Q$5</f>
        <v>4</v>
      </c>
    </row>
    <row r="819" spans="1:15">
      <c r="A819" s="2">
        <v>818</v>
      </c>
      <c r="B819" s="4">
        <f t="shared" si="36"/>
        <v>18</v>
      </c>
      <c r="C819" s="4">
        <f t="shared" si="37"/>
        <v>5</v>
      </c>
      <c r="D819" s="4">
        <f t="shared" si="38"/>
        <v>2023</v>
      </c>
      <c r="E819" s="3">
        <v>45064</v>
      </c>
      <c r="F819" s="4" t="s">
        <v>844</v>
      </c>
      <c r="G819" s="4" t="s">
        <v>16</v>
      </c>
      <c r="H819" s="4" t="str" cm="1">
        <f t="array" ref="H819">_xlfn.IFS(I819&lt;30, "Young Adult", I819&gt;=50, "Senior", I819&gt;=30, "Adult")</f>
        <v>Adult</v>
      </c>
      <c r="I819" s="4">
        <v>30</v>
      </c>
      <c r="J819" s="4" t="s">
        <v>24</v>
      </c>
      <c r="K819" s="4">
        <v>1</v>
      </c>
      <c r="L819" s="5">
        <v>500</v>
      </c>
      <c r="M819" s="5">
        <f>K819 * L819</f>
        <v>500</v>
      </c>
      <c r="N819" s="5">
        <f>M819 * $Q$4</f>
        <v>7.5</v>
      </c>
      <c r="O819" s="5">
        <f>M819* $Q$5</f>
        <v>10</v>
      </c>
    </row>
    <row r="820" spans="1:15">
      <c r="A820" s="2">
        <v>819</v>
      </c>
      <c r="B820" s="4">
        <f t="shared" si="36"/>
        <v>15</v>
      </c>
      <c r="C820" s="4">
        <f t="shared" si="37"/>
        <v>6</v>
      </c>
      <c r="D820" s="4">
        <f t="shared" si="38"/>
        <v>2023</v>
      </c>
      <c r="E820" s="3">
        <v>45092</v>
      </c>
      <c r="F820" s="4" t="s">
        <v>845</v>
      </c>
      <c r="G820" s="4" t="s">
        <v>19</v>
      </c>
      <c r="H820" s="4" t="str" cm="1">
        <f t="array" ref="H820">_xlfn.IFS(I820&lt;30, "Young Adult", I820&gt;=50, "Senior", I820&gt;=30, "Adult")</f>
        <v>Adult</v>
      </c>
      <c r="I820" s="4">
        <v>35</v>
      </c>
      <c r="J820" s="4" t="s">
        <v>17</v>
      </c>
      <c r="K820" s="4">
        <v>2</v>
      </c>
      <c r="L820" s="5">
        <v>50</v>
      </c>
      <c r="M820" s="5">
        <f>K820 * L820</f>
        <v>100</v>
      </c>
      <c r="N820" s="5">
        <f>M820 * $Q$4</f>
        <v>1.5</v>
      </c>
      <c r="O820" s="5">
        <f>M820* $Q$5</f>
        <v>2</v>
      </c>
    </row>
    <row r="821" spans="1:15">
      <c r="A821" s="2">
        <v>820</v>
      </c>
      <c r="B821" s="4">
        <f t="shared" si="36"/>
        <v>6</v>
      </c>
      <c r="C821" s="4">
        <f t="shared" si="37"/>
        <v>5</v>
      </c>
      <c r="D821" s="4">
        <f t="shared" si="38"/>
        <v>2023</v>
      </c>
      <c r="E821" s="3">
        <v>45052</v>
      </c>
      <c r="F821" s="4" t="s">
        <v>846</v>
      </c>
      <c r="G821" s="4" t="s">
        <v>16</v>
      </c>
      <c r="H821" s="4" t="str" cm="1">
        <f t="array" ref="H821">_xlfn.IFS(I821&lt;30, "Young Adult", I821&gt;=50, "Senior", I821&gt;=30, "Adult")</f>
        <v>Adult</v>
      </c>
      <c r="I821" s="4">
        <v>49</v>
      </c>
      <c r="J821" s="4" t="s">
        <v>24</v>
      </c>
      <c r="K821" s="4">
        <v>4</v>
      </c>
      <c r="L821" s="5">
        <v>50</v>
      </c>
      <c r="M821" s="5">
        <f>K821 * L821</f>
        <v>200</v>
      </c>
      <c r="N821" s="5">
        <f>M821 * $Q$4</f>
        <v>3</v>
      </c>
      <c r="O821" s="5">
        <f>M821* $Q$5</f>
        <v>4</v>
      </c>
    </row>
    <row r="822" spans="1:15">
      <c r="A822" s="2">
        <v>821</v>
      </c>
      <c r="B822" s="4">
        <f t="shared" si="36"/>
        <v>14</v>
      </c>
      <c r="C822" s="4">
        <f t="shared" si="37"/>
        <v>2</v>
      </c>
      <c r="D822" s="4">
        <f t="shared" si="38"/>
        <v>2023</v>
      </c>
      <c r="E822" s="3">
        <v>44971</v>
      </c>
      <c r="F822" s="4" t="s">
        <v>847</v>
      </c>
      <c r="G822" s="4" t="s">
        <v>16</v>
      </c>
      <c r="H822" s="4" t="str" cm="1">
        <f t="array" ref="H822">_xlfn.IFS(I822&lt;30, "Young Adult", I822&gt;=50, "Senior", I822&gt;=30, "Adult")</f>
        <v>Adult</v>
      </c>
      <c r="I822" s="4">
        <v>49</v>
      </c>
      <c r="J822" s="4" t="s">
        <v>24</v>
      </c>
      <c r="K822" s="4">
        <v>1</v>
      </c>
      <c r="L822" s="5">
        <v>300</v>
      </c>
      <c r="M822" s="5">
        <f>K822 * L822</f>
        <v>300</v>
      </c>
      <c r="N822" s="5">
        <f>M822 * $Q$4</f>
        <v>4.5</v>
      </c>
      <c r="O822" s="5">
        <f>M822* $Q$5</f>
        <v>6</v>
      </c>
    </row>
    <row r="823" spans="1:15">
      <c r="A823" s="2">
        <v>822</v>
      </c>
      <c r="B823" s="4">
        <f t="shared" si="36"/>
        <v>23</v>
      </c>
      <c r="C823" s="4">
        <f t="shared" si="37"/>
        <v>5</v>
      </c>
      <c r="D823" s="4">
        <f t="shared" si="38"/>
        <v>2023</v>
      </c>
      <c r="E823" s="3">
        <v>45069</v>
      </c>
      <c r="F823" s="4" t="s">
        <v>848</v>
      </c>
      <c r="G823" s="4" t="s">
        <v>19</v>
      </c>
      <c r="H823" s="4" t="str" cm="1">
        <f t="array" ref="H823">_xlfn.IFS(I823&lt;30, "Young Adult", I823&gt;=50, "Senior", I823&gt;=30, "Adult")</f>
        <v>Senior</v>
      </c>
      <c r="I823" s="4">
        <v>52</v>
      </c>
      <c r="J823" s="4" t="s">
        <v>17</v>
      </c>
      <c r="K823" s="4">
        <v>3</v>
      </c>
      <c r="L823" s="5">
        <v>50</v>
      </c>
      <c r="M823" s="5">
        <f>K823 * L823</f>
        <v>150</v>
      </c>
      <c r="N823" s="5">
        <f>M823 * $Q$4</f>
        <v>2.25</v>
      </c>
      <c r="O823" s="5">
        <f>M823* $Q$5</f>
        <v>3</v>
      </c>
    </row>
    <row r="824" spans="1:15">
      <c r="A824" s="2">
        <v>823</v>
      </c>
      <c r="B824" s="4">
        <f t="shared" si="36"/>
        <v>19</v>
      </c>
      <c r="C824" s="4">
        <f t="shared" si="37"/>
        <v>8</v>
      </c>
      <c r="D824" s="4">
        <f t="shared" si="38"/>
        <v>2023</v>
      </c>
      <c r="E824" s="3">
        <v>45157</v>
      </c>
      <c r="F824" s="4" t="s">
        <v>849</v>
      </c>
      <c r="G824" s="4" t="s">
        <v>19</v>
      </c>
      <c r="H824" s="4" t="str" cm="1">
        <f t="array" ref="H824">_xlfn.IFS(I824&lt;30, "Young Adult", I824&gt;=50, "Senior", I824&gt;=30, "Adult")</f>
        <v>Senior</v>
      </c>
      <c r="I824" s="4">
        <v>56</v>
      </c>
      <c r="J824" s="4" t="s">
        <v>24</v>
      </c>
      <c r="K824" s="4">
        <v>2</v>
      </c>
      <c r="L824" s="5">
        <v>50</v>
      </c>
      <c r="M824" s="5">
        <f>K824 * L824</f>
        <v>100</v>
      </c>
      <c r="N824" s="5">
        <f>M824 * $Q$4</f>
        <v>1.5</v>
      </c>
      <c r="O824" s="5">
        <f>M824* $Q$5</f>
        <v>2</v>
      </c>
    </row>
    <row r="825" spans="1:15">
      <c r="A825" s="2">
        <v>824</v>
      </c>
      <c r="B825" s="4">
        <f t="shared" si="36"/>
        <v>5</v>
      </c>
      <c r="C825" s="4">
        <f t="shared" si="37"/>
        <v>5</v>
      </c>
      <c r="D825" s="4">
        <f t="shared" si="38"/>
        <v>2023</v>
      </c>
      <c r="E825" s="3">
        <v>45051</v>
      </c>
      <c r="F825" s="4" t="s">
        <v>850</v>
      </c>
      <c r="G825" s="4" t="s">
        <v>16</v>
      </c>
      <c r="H825" s="4" t="str" cm="1">
        <f t="array" ref="H825">_xlfn.IFS(I825&lt;30, "Young Adult", I825&gt;=50, "Senior", I825&gt;=30, "Adult")</f>
        <v>Senior</v>
      </c>
      <c r="I825" s="4">
        <v>63</v>
      </c>
      <c r="J825" s="4" t="s">
        <v>20</v>
      </c>
      <c r="K825" s="4">
        <v>4</v>
      </c>
      <c r="L825" s="5">
        <v>30</v>
      </c>
      <c r="M825" s="5">
        <f>K825 * L825</f>
        <v>120</v>
      </c>
      <c r="N825" s="5">
        <f>M825 * $Q$4</f>
        <v>1.7999999999999998</v>
      </c>
      <c r="O825" s="5">
        <f>M825* $Q$5</f>
        <v>2.4</v>
      </c>
    </row>
    <row r="826" spans="1:15">
      <c r="A826" s="2">
        <v>825</v>
      </c>
      <c r="B826" s="4">
        <f t="shared" si="36"/>
        <v>26</v>
      </c>
      <c r="C826" s="4">
        <f t="shared" si="37"/>
        <v>8</v>
      </c>
      <c r="D826" s="4">
        <f t="shared" si="38"/>
        <v>2023</v>
      </c>
      <c r="E826" s="3">
        <v>45164</v>
      </c>
      <c r="F826" s="4" t="s">
        <v>851</v>
      </c>
      <c r="G826" s="4" t="s">
        <v>19</v>
      </c>
      <c r="H826" s="4" t="str" cm="1">
        <f t="array" ref="H826">_xlfn.IFS(I826&lt;30, "Young Adult", I826&gt;=50, "Senior", I826&gt;=30, "Adult")</f>
        <v>Adult</v>
      </c>
      <c r="I826" s="4">
        <v>46</v>
      </c>
      <c r="J826" s="4" t="s">
        <v>17</v>
      </c>
      <c r="K826" s="4">
        <v>1</v>
      </c>
      <c r="L826" s="5">
        <v>25</v>
      </c>
      <c r="M826" s="5">
        <f>K826 * L826</f>
        <v>25</v>
      </c>
      <c r="N826" s="5">
        <f>M826 * $Q$4</f>
        <v>0.375</v>
      </c>
      <c r="O826" s="5">
        <f>M826* $Q$5</f>
        <v>0.5</v>
      </c>
    </row>
    <row r="827" spans="1:15">
      <c r="A827" s="2">
        <v>826</v>
      </c>
      <c r="B827" s="4">
        <f t="shared" si="36"/>
        <v>19</v>
      </c>
      <c r="C827" s="4">
        <f t="shared" si="37"/>
        <v>10</v>
      </c>
      <c r="D827" s="4">
        <f t="shared" si="38"/>
        <v>2023</v>
      </c>
      <c r="E827" s="3">
        <v>45218</v>
      </c>
      <c r="F827" s="4" t="s">
        <v>852</v>
      </c>
      <c r="G827" s="4" t="s">
        <v>19</v>
      </c>
      <c r="H827" s="4" t="str" cm="1">
        <f t="array" ref="H827">_xlfn.IFS(I827&lt;30, "Young Adult", I827&gt;=50, "Senior", I827&gt;=30, "Adult")</f>
        <v>Adult</v>
      </c>
      <c r="I827" s="4">
        <v>46</v>
      </c>
      <c r="J827" s="4" t="s">
        <v>20</v>
      </c>
      <c r="K827" s="4">
        <v>1</v>
      </c>
      <c r="L827" s="5">
        <v>300</v>
      </c>
      <c r="M827" s="5">
        <f>K827 * L827</f>
        <v>300</v>
      </c>
      <c r="N827" s="5">
        <f>M827 * $Q$4</f>
        <v>4.5</v>
      </c>
      <c r="O827" s="5">
        <f>M827* $Q$5</f>
        <v>6</v>
      </c>
    </row>
    <row r="828" spans="1:15">
      <c r="A828" s="2">
        <v>827</v>
      </c>
      <c r="B828" s="4">
        <f t="shared" si="36"/>
        <v>9</v>
      </c>
      <c r="C828" s="4">
        <f t="shared" si="37"/>
        <v>11</v>
      </c>
      <c r="D828" s="4">
        <f t="shared" si="38"/>
        <v>2023</v>
      </c>
      <c r="E828" s="3">
        <v>45239</v>
      </c>
      <c r="F828" s="4" t="s">
        <v>853</v>
      </c>
      <c r="G828" s="4" t="s">
        <v>16</v>
      </c>
      <c r="H828" s="4" t="str" cm="1">
        <f t="array" ref="H828">_xlfn.IFS(I828&lt;30, "Young Adult", I828&gt;=50, "Senior", I828&gt;=30, "Adult")</f>
        <v>Senior</v>
      </c>
      <c r="I828" s="4">
        <v>61</v>
      </c>
      <c r="J828" s="4" t="s">
        <v>17</v>
      </c>
      <c r="K828" s="4">
        <v>3</v>
      </c>
      <c r="L828" s="5">
        <v>300</v>
      </c>
      <c r="M828" s="5">
        <f>K828 * L828</f>
        <v>900</v>
      </c>
      <c r="N828" s="5">
        <f>M828 * $Q$4</f>
        <v>13.5</v>
      </c>
      <c r="O828" s="5">
        <f>M828* $Q$5</f>
        <v>18</v>
      </c>
    </row>
    <row r="829" spans="1:15">
      <c r="A829" s="2">
        <v>828</v>
      </c>
      <c r="B829" s="4">
        <f t="shared" si="36"/>
        <v>9</v>
      </c>
      <c r="C829" s="4">
        <f t="shared" si="37"/>
        <v>12</v>
      </c>
      <c r="D829" s="4">
        <f t="shared" si="38"/>
        <v>2023</v>
      </c>
      <c r="E829" s="3">
        <v>45269</v>
      </c>
      <c r="F829" s="4" t="s">
        <v>854</v>
      </c>
      <c r="G829" s="4" t="s">
        <v>19</v>
      </c>
      <c r="H829" s="4" t="str" cm="1">
        <f t="array" ref="H829">_xlfn.IFS(I829&lt;30, "Young Adult", I829&gt;=50, "Senior", I829&gt;=30, "Adult")</f>
        <v>Adult</v>
      </c>
      <c r="I829" s="4">
        <v>33</v>
      </c>
      <c r="J829" s="4" t="s">
        <v>24</v>
      </c>
      <c r="K829" s="4">
        <v>4</v>
      </c>
      <c r="L829" s="5">
        <v>300</v>
      </c>
      <c r="M829" s="5">
        <f>K829 * L829</f>
        <v>1200</v>
      </c>
      <c r="N829" s="5">
        <f>M829 * $Q$4</f>
        <v>18</v>
      </c>
      <c r="O829" s="5">
        <f>M829* $Q$5</f>
        <v>24</v>
      </c>
    </row>
    <row r="830" spans="1:15">
      <c r="A830" s="2">
        <v>829</v>
      </c>
      <c r="B830" s="4">
        <f t="shared" si="36"/>
        <v>14</v>
      </c>
      <c r="C830" s="4">
        <f t="shared" si="37"/>
        <v>7</v>
      </c>
      <c r="D830" s="4">
        <f t="shared" si="38"/>
        <v>2023</v>
      </c>
      <c r="E830" s="3">
        <v>45121</v>
      </c>
      <c r="F830" s="4" t="s">
        <v>855</v>
      </c>
      <c r="G830" s="4" t="s">
        <v>16</v>
      </c>
      <c r="H830" s="4" t="str" cm="1">
        <f t="array" ref="H830">_xlfn.IFS(I830&lt;30, "Young Adult", I830&gt;=50, "Senior", I830&gt;=30, "Adult")</f>
        <v>Senior</v>
      </c>
      <c r="I830" s="4">
        <v>61</v>
      </c>
      <c r="J830" s="4" t="s">
        <v>17</v>
      </c>
      <c r="K830" s="4">
        <v>3</v>
      </c>
      <c r="L830" s="5">
        <v>30</v>
      </c>
      <c r="M830" s="5">
        <f>K830 * L830</f>
        <v>90</v>
      </c>
      <c r="N830" s="5">
        <f>M830 * $Q$4</f>
        <v>1.3499999999999999</v>
      </c>
      <c r="O830" s="5">
        <f>M830* $Q$5</f>
        <v>1.8</v>
      </c>
    </row>
    <row r="831" spans="1:15">
      <c r="A831" s="2">
        <v>830</v>
      </c>
      <c r="B831" s="4">
        <f t="shared" si="36"/>
        <v>22</v>
      </c>
      <c r="C831" s="4">
        <f t="shared" si="37"/>
        <v>6</v>
      </c>
      <c r="D831" s="4">
        <f t="shared" si="38"/>
        <v>2023</v>
      </c>
      <c r="E831" s="3">
        <v>45099</v>
      </c>
      <c r="F831" s="4" t="s">
        <v>856</v>
      </c>
      <c r="G831" s="4" t="s">
        <v>19</v>
      </c>
      <c r="H831" s="4" t="str" cm="1">
        <f t="array" ref="H831">_xlfn.IFS(I831&lt;30, "Young Adult", I831&gt;=50, "Senior", I831&gt;=30, "Adult")</f>
        <v>Senior</v>
      </c>
      <c r="I831" s="4">
        <v>64</v>
      </c>
      <c r="J831" s="4" t="s">
        <v>20</v>
      </c>
      <c r="K831" s="4">
        <v>3</v>
      </c>
      <c r="L831" s="5">
        <v>50</v>
      </c>
      <c r="M831" s="5">
        <f>K831 * L831</f>
        <v>150</v>
      </c>
      <c r="N831" s="5">
        <f>M831 * $Q$4</f>
        <v>2.25</v>
      </c>
      <c r="O831" s="5">
        <f>M831* $Q$5</f>
        <v>3</v>
      </c>
    </row>
    <row r="832" spans="1:15">
      <c r="A832" s="2">
        <v>831</v>
      </c>
      <c r="B832" s="4">
        <f t="shared" si="36"/>
        <v>15</v>
      </c>
      <c r="C832" s="4">
        <f t="shared" si="37"/>
        <v>1</v>
      </c>
      <c r="D832" s="4">
        <f t="shared" si="38"/>
        <v>2023</v>
      </c>
      <c r="E832" s="3">
        <v>44941</v>
      </c>
      <c r="F832" s="4" t="s">
        <v>857</v>
      </c>
      <c r="G832" s="4" t="s">
        <v>16</v>
      </c>
      <c r="H832" s="4" t="str" cm="1">
        <f t="array" ref="H832">_xlfn.IFS(I832&lt;30, "Young Adult", I832&gt;=50, "Senior", I832&gt;=30, "Adult")</f>
        <v>Young Adult</v>
      </c>
      <c r="I832" s="4">
        <v>27</v>
      </c>
      <c r="J832" s="4" t="s">
        <v>24</v>
      </c>
      <c r="K832" s="4">
        <v>4</v>
      </c>
      <c r="L832" s="5">
        <v>25</v>
      </c>
      <c r="M832" s="5">
        <f>K832 * L832</f>
        <v>100</v>
      </c>
      <c r="N832" s="5">
        <f>M832 * $Q$4</f>
        <v>1.5</v>
      </c>
      <c r="O832" s="5">
        <f>M832* $Q$5</f>
        <v>2</v>
      </c>
    </row>
    <row r="833" spans="1:15">
      <c r="A833" s="2">
        <v>832</v>
      </c>
      <c r="B833" s="4">
        <f t="shared" si="36"/>
        <v>11</v>
      </c>
      <c r="C833" s="4">
        <f t="shared" si="37"/>
        <v>9</v>
      </c>
      <c r="D833" s="4">
        <f t="shared" si="38"/>
        <v>2023</v>
      </c>
      <c r="E833" s="3">
        <v>45180</v>
      </c>
      <c r="F833" s="4" t="s">
        <v>858</v>
      </c>
      <c r="G833" s="4" t="s">
        <v>16</v>
      </c>
      <c r="H833" s="4" t="str" cm="1">
        <f t="array" ref="H833">_xlfn.IFS(I833&lt;30, "Young Adult", I833&gt;=50, "Senior", I833&gt;=30, "Adult")</f>
        <v>Adult</v>
      </c>
      <c r="I833" s="4">
        <v>47</v>
      </c>
      <c r="J833" s="4" t="s">
        <v>17</v>
      </c>
      <c r="K833" s="4">
        <v>4</v>
      </c>
      <c r="L833" s="5">
        <v>500</v>
      </c>
      <c r="M833" s="5">
        <f>K833 * L833</f>
        <v>2000</v>
      </c>
      <c r="N833" s="5">
        <f>M833 * $Q$4</f>
        <v>30</v>
      </c>
      <c r="O833" s="5">
        <f>M833* $Q$5</f>
        <v>40</v>
      </c>
    </row>
    <row r="834" spans="1:15">
      <c r="A834" s="2">
        <v>833</v>
      </c>
      <c r="B834" s="4">
        <f t="shared" si="36"/>
        <v>16</v>
      </c>
      <c r="C834" s="4">
        <f t="shared" si="37"/>
        <v>6</v>
      </c>
      <c r="D834" s="4">
        <f t="shared" si="38"/>
        <v>2023</v>
      </c>
      <c r="E834" s="3">
        <v>45093</v>
      </c>
      <c r="F834" s="4" t="s">
        <v>859</v>
      </c>
      <c r="G834" s="4" t="s">
        <v>16</v>
      </c>
      <c r="H834" s="4" t="str" cm="1">
        <f t="array" ref="H834">_xlfn.IFS(I834&lt;30, "Young Adult", I834&gt;=50, "Senior", I834&gt;=30, "Adult")</f>
        <v>Adult</v>
      </c>
      <c r="I834" s="4">
        <v>42</v>
      </c>
      <c r="J834" s="4" t="s">
        <v>17</v>
      </c>
      <c r="K834" s="4">
        <v>4</v>
      </c>
      <c r="L834" s="5">
        <v>50</v>
      </c>
      <c r="M834" s="5">
        <f>K834 * L834</f>
        <v>200</v>
      </c>
      <c r="N834" s="5">
        <f>M834 * $Q$4</f>
        <v>3</v>
      </c>
      <c r="O834" s="5">
        <f>M834* $Q$5</f>
        <v>4</v>
      </c>
    </row>
    <row r="835" spans="1:15">
      <c r="A835" s="2">
        <v>834</v>
      </c>
      <c r="B835" s="4">
        <f t="shared" ref="B835:B898" si="39">DAY(E835)</f>
        <v>4</v>
      </c>
      <c r="C835" s="4">
        <f t="shared" ref="C835:C898" si="40">MONTH(E835)</f>
        <v>4</v>
      </c>
      <c r="D835" s="4">
        <f t="shared" ref="D835:D898" si="41">YEAR(E835)</f>
        <v>2023</v>
      </c>
      <c r="E835" s="3">
        <v>45020</v>
      </c>
      <c r="F835" s="4" t="s">
        <v>860</v>
      </c>
      <c r="G835" s="4" t="s">
        <v>19</v>
      </c>
      <c r="H835" s="4" t="str" cm="1">
        <f t="array" ref="H835">_xlfn.IFS(I835&lt;30, "Young Adult", I835&gt;=50, "Senior", I835&gt;=30, "Adult")</f>
        <v>Senior</v>
      </c>
      <c r="I835" s="4">
        <v>56</v>
      </c>
      <c r="J835" s="4" t="s">
        <v>17</v>
      </c>
      <c r="K835" s="4">
        <v>2</v>
      </c>
      <c r="L835" s="5">
        <v>30</v>
      </c>
      <c r="M835" s="5">
        <f>K835 * L835</f>
        <v>60</v>
      </c>
      <c r="N835" s="5">
        <f>M835 * $Q$4</f>
        <v>0.89999999999999991</v>
      </c>
      <c r="O835" s="5">
        <f>M835* $Q$5</f>
        <v>1.2</v>
      </c>
    </row>
    <row r="836" spans="1:15">
      <c r="A836" s="2">
        <v>835</v>
      </c>
      <c r="B836" s="4">
        <f t="shared" si="39"/>
        <v>7</v>
      </c>
      <c r="C836" s="4">
        <f t="shared" si="40"/>
        <v>9</v>
      </c>
      <c r="D836" s="4">
        <f t="shared" si="41"/>
        <v>2023</v>
      </c>
      <c r="E836" s="3">
        <v>45176</v>
      </c>
      <c r="F836" s="4" t="s">
        <v>861</v>
      </c>
      <c r="G836" s="4" t="s">
        <v>16</v>
      </c>
      <c r="H836" s="4" t="str" cm="1">
        <f t="array" ref="H836">_xlfn.IFS(I836&lt;30, "Young Adult", I836&gt;=50, "Senior", I836&gt;=30, "Adult")</f>
        <v>Adult</v>
      </c>
      <c r="I836" s="4">
        <v>37</v>
      </c>
      <c r="J836" s="4" t="s">
        <v>20</v>
      </c>
      <c r="K836" s="4">
        <v>4</v>
      </c>
      <c r="L836" s="5">
        <v>50</v>
      </c>
      <c r="M836" s="5">
        <f>K836 * L836</f>
        <v>200</v>
      </c>
      <c r="N836" s="5">
        <f>M836 * $Q$4</f>
        <v>3</v>
      </c>
      <c r="O836" s="5">
        <f>M836* $Q$5</f>
        <v>4</v>
      </c>
    </row>
    <row r="837" spans="1:15">
      <c r="A837" s="2">
        <v>836</v>
      </c>
      <c r="B837" s="4">
        <f t="shared" si="39"/>
        <v>19</v>
      </c>
      <c r="C837" s="4">
        <f t="shared" si="40"/>
        <v>4</v>
      </c>
      <c r="D837" s="4">
        <f t="shared" si="41"/>
        <v>2023</v>
      </c>
      <c r="E837" s="3">
        <v>45035</v>
      </c>
      <c r="F837" s="4" t="s">
        <v>862</v>
      </c>
      <c r="G837" s="4" t="s">
        <v>19</v>
      </c>
      <c r="H837" s="4" t="str" cm="1">
        <f t="array" ref="H837">_xlfn.IFS(I837&lt;30, "Young Adult", I837&gt;=50, "Senior", I837&gt;=30, "Adult")</f>
        <v>Young Adult</v>
      </c>
      <c r="I837" s="4">
        <v>22</v>
      </c>
      <c r="J837" s="4" t="s">
        <v>20</v>
      </c>
      <c r="K837" s="4">
        <v>1</v>
      </c>
      <c r="L837" s="5">
        <v>50</v>
      </c>
      <c r="M837" s="5">
        <f>K837 * L837</f>
        <v>50</v>
      </c>
      <c r="N837" s="5">
        <f>M837 * $Q$4</f>
        <v>0.75</v>
      </c>
      <c r="O837" s="5">
        <f>M837* $Q$5</f>
        <v>1</v>
      </c>
    </row>
    <row r="838" spans="1:15">
      <c r="A838" s="2">
        <v>837</v>
      </c>
      <c r="B838" s="4">
        <f t="shared" si="39"/>
        <v>1</v>
      </c>
      <c r="C838" s="4">
        <f t="shared" si="40"/>
        <v>7</v>
      </c>
      <c r="D838" s="4">
        <f t="shared" si="41"/>
        <v>2023</v>
      </c>
      <c r="E838" s="3">
        <v>45108</v>
      </c>
      <c r="F838" s="4" t="s">
        <v>863</v>
      </c>
      <c r="G838" s="4" t="s">
        <v>16</v>
      </c>
      <c r="H838" s="4" t="str" cm="1">
        <f t="array" ref="H838">_xlfn.IFS(I838&lt;30, "Young Adult", I838&gt;=50, "Senior", I838&gt;=30, "Adult")</f>
        <v>Young Adult</v>
      </c>
      <c r="I838" s="4">
        <v>18</v>
      </c>
      <c r="J838" s="4" t="s">
        <v>17</v>
      </c>
      <c r="K838" s="4">
        <v>3</v>
      </c>
      <c r="L838" s="5">
        <v>30</v>
      </c>
      <c r="M838" s="5">
        <f>K838 * L838</f>
        <v>90</v>
      </c>
      <c r="N838" s="5">
        <f>M838 * $Q$4</f>
        <v>1.3499999999999999</v>
      </c>
      <c r="O838" s="5">
        <f>M838* $Q$5</f>
        <v>1.8</v>
      </c>
    </row>
    <row r="839" spans="1:15">
      <c r="A839" s="2">
        <v>838</v>
      </c>
      <c r="B839" s="4">
        <f t="shared" si="39"/>
        <v>13</v>
      </c>
      <c r="C839" s="4">
        <f t="shared" si="40"/>
        <v>5</v>
      </c>
      <c r="D839" s="4">
        <f t="shared" si="41"/>
        <v>2023</v>
      </c>
      <c r="E839" s="3">
        <v>45059</v>
      </c>
      <c r="F839" s="4" t="s">
        <v>864</v>
      </c>
      <c r="G839" s="4" t="s">
        <v>16</v>
      </c>
      <c r="H839" s="4" t="str" cm="1">
        <f t="array" ref="H839">_xlfn.IFS(I839&lt;30, "Young Adult", I839&gt;=50, "Senior", I839&gt;=30, "Adult")</f>
        <v>Adult</v>
      </c>
      <c r="I839" s="4">
        <v>47</v>
      </c>
      <c r="J839" s="4" t="s">
        <v>24</v>
      </c>
      <c r="K839" s="4">
        <v>2</v>
      </c>
      <c r="L839" s="5">
        <v>300</v>
      </c>
      <c r="M839" s="5">
        <f>K839 * L839</f>
        <v>600</v>
      </c>
      <c r="N839" s="5">
        <f>M839 * $Q$4</f>
        <v>9</v>
      </c>
      <c r="O839" s="5">
        <f>M839* $Q$5</f>
        <v>12</v>
      </c>
    </row>
    <row r="840" spans="1:15">
      <c r="A840" s="2">
        <v>839</v>
      </c>
      <c r="B840" s="4">
        <f t="shared" si="39"/>
        <v>24</v>
      </c>
      <c r="C840" s="4">
        <f t="shared" si="40"/>
        <v>6</v>
      </c>
      <c r="D840" s="4">
        <f t="shared" si="41"/>
        <v>2023</v>
      </c>
      <c r="E840" s="3">
        <v>45101</v>
      </c>
      <c r="F840" s="4" t="s">
        <v>865</v>
      </c>
      <c r="G840" s="4" t="s">
        <v>19</v>
      </c>
      <c r="H840" s="4" t="str" cm="1">
        <f t="array" ref="H840">_xlfn.IFS(I840&lt;30, "Young Adult", I840&gt;=50, "Senior", I840&gt;=30, "Adult")</f>
        <v>Young Adult</v>
      </c>
      <c r="I840" s="4">
        <v>20</v>
      </c>
      <c r="J840" s="4" t="s">
        <v>24</v>
      </c>
      <c r="K840" s="4">
        <v>4</v>
      </c>
      <c r="L840" s="5">
        <v>300</v>
      </c>
      <c r="M840" s="5">
        <f>K840 * L840</f>
        <v>1200</v>
      </c>
      <c r="N840" s="5">
        <f>M840 * $Q$4</f>
        <v>18</v>
      </c>
      <c r="O840" s="5">
        <f>M840* $Q$5</f>
        <v>24</v>
      </c>
    </row>
    <row r="841" spans="1:15">
      <c r="A841" s="2">
        <v>840</v>
      </c>
      <c r="B841" s="4">
        <f t="shared" si="39"/>
        <v>24</v>
      </c>
      <c r="C841" s="4">
        <f t="shared" si="40"/>
        <v>5</v>
      </c>
      <c r="D841" s="4">
        <f t="shared" si="41"/>
        <v>2023</v>
      </c>
      <c r="E841" s="3">
        <v>45070</v>
      </c>
      <c r="F841" s="4" t="s">
        <v>866</v>
      </c>
      <c r="G841" s="4" t="s">
        <v>16</v>
      </c>
      <c r="H841" s="4" t="str" cm="1">
        <f t="array" ref="H841">_xlfn.IFS(I841&lt;30, "Young Adult", I841&gt;=50, "Senior", I841&gt;=30, "Adult")</f>
        <v>Senior</v>
      </c>
      <c r="I841" s="4">
        <v>62</v>
      </c>
      <c r="J841" s="4" t="s">
        <v>20</v>
      </c>
      <c r="K841" s="4">
        <v>2</v>
      </c>
      <c r="L841" s="5">
        <v>25</v>
      </c>
      <c r="M841" s="5">
        <f>K841 * L841</f>
        <v>50</v>
      </c>
      <c r="N841" s="5">
        <f>M841 * $Q$4</f>
        <v>0.75</v>
      </c>
      <c r="O841" s="5">
        <f>M841* $Q$5</f>
        <v>1</v>
      </c>
    </row>
    <row r="842" spans="1:15">
      <c r="A842" s="2">
        <v>841</v>
      </c>
      <c r="B842" s="4">
        <f t="shared" si="39"/>
        <v>2</v>
      </c>
      <c r="C842" s="4">
        <f t="shared" si="40"/>
        <v>11</v>
      </c>
      <c r="D842" s="4">
        <f t="shared" si="41"/>
        <v>2023</v>
      </c>
      <c r="E842" s="3">
        <v>45232</v>
      </c>
      <c r="F842" s="4" t="s">
        <v>867</v>
      </c>
      <c r="G842" s="4" t="s">
        <v>16</v>
      </c>
      <c r="H842" s="4" t="str" cm="1">
        <f t="array" ref="H842">_xlfn.IFS(I842&lt;30, "Young Adult", I842&gt;=50, "Senior", I842&gt;=30, "Adult")</f>
        <v>Adult</v>
      </c>
      <c r="I842" s="4">
        <v>31</v>
      </c>
      <c r="J842" s="4" t="s">
        <v>24</v>
      </c>
      <c r="K842" s="4">
        <v>4</v>
      </c>
      <c r="L842" s="5">
        <v>25</v>
      </c>
      <c r="M842" s="5">
        <f>K842 * L842</f>
        <v>100</v>
      </c>
      <c r="N842" s="5">
        <f>M842 * $Q$4</f>
        <v>1.5</v>
      </c>
      <c r="O842" s="5">
        <f>M842* $Q$5</f>
        <v>2</v>
      </c>
    </row>
    <row r="843" spans="1:15">
      <c r="A843" s="2">
        <v>842</v>
      </c>
      <c r="B843" s="4">
        <f t="shared" si="39"/>
        <v>26</v>
      </c>
      <c r="C843" s="4">
        <f t="shared" si="40"/>
        <v>12</v>
      </c>
      <c r="D843" s="4">
        <f t="shared" si="41"/>
        <v>2023</v>
      </c>
      <c r="E843" s="3">
        <v>45286</v>
      </c>
      <c r="F843" s="4" t="s">
        <v>868</v>
      </c>
      <c r="G843" s="4" t="s">
        <v>19</v>
      </c>
      <c r="H843" s="4" t="str" cm="1">
        <f t="array" ref="H843">_xlfn.IFS(I843&lt;30, "Young Adult", I843&gt;=50, "Senior", I843&gt;=30, "Adult")</f>
        <v>Adult</v>
      </c>
      <c r="I843" s="4">
        <v>47</v>
      </c>
      <c r="J843" s="4" t="s">
        <v>20</v>
      </c>
      <c r="K843" s="4">
        <v>2</v>
      </c>
      <c r="L843" s="5">
        <v>300</v>
      </c>
      <c r="M843" s="5">
        <f>K843 * L843</f>
        <v>600</v>
      </c>
      <c r="N843" s="5">
        <f>M843 * $Q$4</f>
        <v>9</v>
      </c>
      <c r="O843" s="5">
        <f>M843* $Q$5</f>
        <v>12</v>
      </c>
    </row>
    <row r="844" spans="1:15">
      <c r="A844" s="2">
        <v>843</v>
      </c>
      <c r="B844" s="4">
        <f t="shared" si="39"/>
        <v>22</v>
      </c>
      <c r="C844" s="4">
        <f t="shared" si="40"/>
        <v>5</v>
      </c>
      <c r="D844" s="4">
        <f t="shared" si="41"/>
        <v>2023</v>
      </c>
      <c r="E844" s="3">
        <v>45068</v>
      </c>
      <c r="F844" s="4" t="s">
        <v>869</v>
      </c>
      <c r="G844" s="4" t="s">
        <v>16</v>
      </c>
      <c r="H844" s="4" t="str" cm="1">
        <f t="array" ref="H844">_xlfn.IFS(I844&lt;30, "Young Adult", I844&gt;=50, "Senior", I844&gt;=30, "Adult")</f>
        <v>Young Adult</v>
      </c>
      <c r="I844" s="4">
        <v>21</v>
      </c>
      <c r="J844" s="4" t="s">
        <v>17</v>
      </c>
      <c r="K844" s="4">
        <v>3</v>
      </c>
      <c r="L844" s="5">
        <v>500</v>
      </c>
      <c r="M844" s="5">
        <f>K844 * L844</f>
        <v>1500</v>
      </c>
      <c r="N844" s="5">
        <f>M844 * $Q$4</f>
        <v>22.5</v>
      </c>
      <c r="O844" s="5">
        <f>M844* $Q$5</f>
        <v>30</v>
      </c>
    </row>
    <row r="845" spans="1:15">
      <c r="A845" s="2">
        <v>844</v>
      </c>
      <c r="B845" s="4">
        <f t="shared" si="39"/>
        <v>12</v>
      </c>
      <c r="C845" s="4">
        <f t="shared" si="40"/>
        <v>10</v>
      </c>
      <c r="D845" s="4">
        <f t="shared" si="41"/>
        <v>2023</v>
      </c>
      <c r="E845" s="3">
        <v>45211</v>
      </c>
      <c r="F845" s="4" t="s">
        <v>870</v>
      </c>
      <c r="G845" s="4" t="s">
        <v>16</v>
      </c>
      <c r="H845" s="4" t="str" cm="1">
        <f t="array" ref="H845">_xlfn.IFS(I845&lt;30, "Young Adult", I845&gt;=50, "Senior", I845&gt;=30, "Adult")</f>
        <v>Adult</v>
      </c>
      <c r="I845" s="4">
        <v>35</v>
      </c>
      <c r="J845" s="4" t="s">
        <v>20</v>
      </c>
      <c r="K845" s="4">
        <v>3</v>
      </c>
      <c r="L845" s="5">
        <v>50</v>
      </c>
      <c r="M845" s="5">
        <f>K845 * L845</f>
        <v>150</v>
      </c>
      <c r="N845" s="5">
        <f>M845 * $Q$4</f>
        <v>2.25</v>
      </c>
      <c r="O845" s="5">
        <f>M845* $Q$5</f>
        <v>3</v>
      </c>
    </row>
    <row r="846" spans="1:15">
      <c r="A846" s="2">
        <v>845</v>
      </c>
      <c r="B846" s="4">
        <f t="shared" si="39"/>
        <v>6</v>
      </c>
      <c r="C846" s="4">
        <f t="shared" si="40"/>
        <v>1</v>
      </c>
      <c r="D846" s="4">
        <f t="shared" si="41"/>
        <v>2023</v>
      </c>
      <c r="E846" s="3">
        <v>44932</v>
      </c>
      <c r="F846" s="4" t="s">
        <v>871</v>
      </c>
      <c r="G846" s="4" t="s">
        <v>16</v>
      </c>
      <c r="H846" s="4" t="str" cm="1">
        <f t="array" ref="H846">_xlfn.IFS(I846&lt;30, "Young Adult", I846&gt;=50, "Senior", I846&gt;=30, "Adult")</f>
        <v>Senior</v>
      </c>
      <c r="I846" s="4">
        <v>54</v>
      </c>
      <c r="J846" s="4" t="s">
        <v>20</v>
      </c>
      <c r="K846" s="4">
        <v>1</v>
      </c>
      <c r="L846" s="5">
        <v>500</v>
      </c>
      <c r="M846" s="5">
        <f>K846 * L846</f>
        <v>500</v>
      </c>
      <c r="N846" s="5">
        <f>M846 * $Q$4</f>
        <v>7.5</v>
      </c>
      <c r="O846" s="5">
        <f>M846* $Q$5</f>
        <v>10</v>
      </c>
    </row>
    <row r="847" spans="1:15">
      <c r="A847" s="2">
        <v>846</v>
      </c>
      <c r="B847" s="4">
        <f t="shared" si="39"/>
        <v>22</v>
      </c>
      <c r="C847" s="4">
        <f t="shared" si="40"/>
        <v>9</v>
      </c>
      <c r="D847" s="4">
        <f t="shared" si="41"/>
        <v>2023</v>
      </c>
      <c r="E847" s="3">
        <v>45191</v>
      </c>
      <c r="F847" s="4" t="s">
        <v>872</v>
      </c>
      <c r="G847" s="4" t="s">
        <v>16</v>
      </c>
      <c r="H847" s="4" t="str" cm="1">
        <f t="array" ref="H847">_xlfn.IFS(I847&lt;30, "Young Adult", I847&gt;=50, "Senior", I847&gt;=30, "Adult")</f>
        <v>Adult</v>
      </c>
      <c r="I847" s="4">
        <v>42</v>
      </c>
      <c r="J847" s="4" t="s">
        <v>17</v>
      </c>
      <c r="K847" s="4">
        <v>1</v>
      </c>
      <c r="L847" s="5">
        <v>50</v>
      </c>
      <c r="M847" s="5">
        <f>K847 * L847</f>
        <v>50</v>
      </c>
      <c r="N847" s="5">
        <f>M847 * $Q$4</f>
        <v>0.75</v>
      </c>
      <c r="O847" s="5">
        <f>M847* $Q$5</f>
        <v>1</v>
      </c>
    </row>
    <row r="848" spans="1:15">
      <c r="A848" s="2">
        <v>847</v>
      </c>
      <c r="B848" s="4">
        <f t="shared" si="39"/>
        <v>8</v>
      </c>
      <c r="C848" s="4">
        <f t="shared" si="40"/>
        <v>4</v>
      </c>
      <c r="D848" s="4">
        <f t="shared" si="41"/>
        <v>2023</v>
      </c>
      <c r="E848" s="3">
        <v>45024</v>
      </c>
      <c r="F848" s="4" t="s">
        <v>873</v>
      </c>
      <c r="G848" s="4" t="s">
        <v>19</v>
      </c>
      <c r="H848" s="4" t="str" cm="1">
        <f t="array" ref="H848">_xlfn.IFS(I848&lt;30, "Young Adult", I848&gt;=50, "Senior", I848&gt;=30, "Adult")</f>
        <v>Young Adult</v>
      </c>
      <c r="I848" s="4">
        <v>18</v>
      </c>
      <c r="J848" s="4" t="s">
        <v>24</v>
      </c>
      <c r="K848" s="4">
        <v>4</v>
      </c>
      <c r="L848" s="5">
        <v>300</v>
      </c>
      <c r="M848" s="5">
        <f>K848 * L848</f>
        <v>1200</v>
      </c>
      <c r="N848" s="5">
        <f>M848 * $Q$4</f>
        <v>18</v>
      </c>
      <c r="O848" s="5">
        <f>M848* $Q$5</f>
        <v>24</v>
      </c>
    </row>
    <row r="849" spans="1:15">
      <c r="A849" s="2">
        <v>848</v>
      </c>
      <c r="B849" s="4">
        <f t="shared" si="39"/>
        <v>13</v>
      </c>
      <c r="C849" s="4">
        <f t="shared" si="40"/>
        <v>2</v>
      </c>
      <c r="D849" s="4">
        <f t="shared" si="41"/>
        <v>2023</v>
      </c>
      <c r="E849" s="3">
        <v>44970</v>
      </c>
      <c r="F849" s="4" t="s">
        <v>874</v>
      </c>
      <c r="G849" s="4" t="s">
        <v>19</v>
      </c>
      <c r="H849" s="4" t="str" cm="1">
        <f t="array" ref="H849">_xlfn.IFS(I849&lt;30, "Young Adult", I849&gt;=50, "Senior", I849&gt;=30, "Adult")</f>
        <v>Senior</v>
      </c>
      <c r="I849" s="4">
        <v>63</v>
      </c>
      <c r="J849" s="4" t="s">
        <v>20</v>
      </c>
      <c r="K849" s="4">
        <v>3</v>
      </c>
      <c r="L849" s="5">
        <v>25</v>
      </c>
      <c r="M849" s="5">
        <f>K849 * L849</f>
        <v>75</v>
      </c>
      <c r="N849" s="5">
        <f>M849 * $Q$4</f>
        <v>1.125</v>
      </c>
      <c r="O849" s="5">
        <f>M849* $Q$5</f>
        <v>1.5</v>
      </c>
    </row>
    <row r="850" spans="1:15">
      <c r="A850" s="2">
        <v>849</v>
      </c>
      <c r="B850" s="4">
        <f t="shared" si="39"/>
        <v>4</v>
      </c>
      <c r="C850" s="4">
        <f t="shared" si="40"/>
        <v>5</v>
      </c>
      <c r="D850" s="4">
        <f t="shared" si="41"/>
        <v>2023</v>
      </c>
      <c r="E850" s="3">
        <v>45050</v>
      </c>
      <c r="F850" s="4" t="s">
        <v>875</v>
      </c>
      <c r="G850" s="4" t="s">
        <v>16</v>
      </c>
      <c r="H850" s="4" t="str" cm="1">
        <f t="array" ref="H850">_xlfn.IFS(I850&lt;30, "Young Adult", I850&gt;=50, "Senior", I850&gt;=30, "Adult")</f>
        <v>Adult</v>
      </c>
      <c r="I850" s="4">
        <v>32</v>
      </c>
      <c r="J850" s="4" t="s">
        <v>20</v>
      </c>
      <c r="K850" s="4">
        <v>2</v>
      </c>
      <c r="L850" s="5">
        <v>25</v>
      </c>
      <c r="M850" s="5">
        <f>K850 * L850</f>
        <v>50</v>
      </c>
      <c r="N850" s="5">
        <f>M850 * $Q$4</f>
        <v>0.75</v>
      </c>
      <c r="O850" s="5">
        <f>M850* $Q$5</f>
        <v>1</v>
      </c>
    </row>
    <row r="851" spans="1:15">
      <c r="A851" s="2">
        <v>850</v>
      </c>
      <c r="B851" s="4">
        <f t="shared" si="39"/>
        <v>28</v>
      </c>
      <c r="C851" s="4">
        <f t="shared" si="40"/>
        <v>7</v>
      </c>
      <c r="D851" s="4">
        <f t="shared" si="41"/>
        <v>2023</v>
      </c>
      <c r="E851" s="3">
        <v>45135</v>
      </c>
      <c r="F851" s="4" t="s">
        <v>876</v>
      </c>
      <c r="G851" s="4" t="s">
        <v>19</v>
      </c>
      <c r="H851" s="4" t="str" cm="1">
        <f t="array" ref="H851">_xlfn.IFS(I851&lt;30, "Young Adult", I851&gt;=50, "Senior", I851&gt;=30, "Adult")</f>
        <v>Young Adult</v>
      </c>
      <c r="I851" s="4">
        <v>26</v>
      </c>
      <c r="J851" s="4" t="s">
        <v>17</v>
      </c>
      <c r="K851" s="4">
        <v>2</v>
      </c>
      <c r="L851" s="5">
        <v>500</v>
      </c>
      <c r="M851" s="5">
        <f>K851 * L851</f>
        <v>1000</v>
      </c>
      <c r="N851" s="5">
        <f>M851 * $Q$4</f>
        <v>15</v>
      </c>
      <c r="O851" s="5">
        <f>M851* $Q$5</f>
        <v>20</v>
      </c>
    </row>
    <row r="852" spans="1:15">
      <c r="A852" s="2">
        <v>851</v>
      </c>
      <c r="B852" s="4">
        <f t="shared" si="39"/>
        <v>8</v>
      </c>
      <c r="C852" s="4">
        <f t="shared" si="40"/>
        <v>9</v>
      </c>
      <c r="D852" s="4">
        <f t="shared" si="41"/>
        <v>2023</v>
      </c>
      <c r="E852" s="3">
        <v>45177</v>
      </c>
      <c r="F852" s="4" t="s">
        <v>877</v>
      </c>
      <c r="G852" s="4" t="s">
        <v>16</v>
      </c>
      <c r="H852" s="4" t="str" cm="1">
        <f t="array" ref="H852">_xlfn.IFS(I852&lt;30, "Young Adult", I852&gt;=50, "Senior", I852&gt;=30, "Adult")</f>
        <v>Adult</v>
      </c>
      <c r="I852" s="4">
        <v>32</v>
      </c>
      <c r="J852" s="4" t="s">
        <v>24</v>
      </c>
      <c r="K852" s="4">
        <v>2</v>
      </c>
      <c r="L852" s="5">
        <v>25</v>
      </c>
      <c r="M852" s="5">
        <f>K852 * L852</f>
        <v>50</v>
      </c>
      <c r="N852" s="5">
        <f>M852 * $Q$4</f>
        <v>0.75</v>
      </c>
      <c r="O852" s="5">
        <f>M852* $Q$5</f>
        <v>1</v>
      </c>
    </row>
    <row r="853" spans="1:15">
      <c r="A853" s="2">
        <v>852</v>
      </c>
      <c r="B853" s="4">
        <f t="shared" si="39"/>
        <v>12</v>
      </c>
      <c r="C853" s="4">
        <f t="shared" si="40"/>
        <v>10</v>
      </c>
      <c r="D853" s="4">
        <f t="shared" si="41"/>
        <v>2023</v>
      </c>
      <c r="E853" s="3">
        <v>45211</v>
      </c>
      <c r="F853" s="4" t="s">
        <v>878</v>
      </c>
      <c r="G853" s="4" t="s">
        <v>19</v>
      </c>
      <c r="H853" s="4" t="str" cm="1">
        <f t="array" ref="H853">_xlfn.IFS(I853&lt;30, "Young Adult", I853&gt;=50, "Senior", I853&gt;=30, "Adult")</f>
        <v>Adult</v>
      </c>
      <c r="I853" s="4">
        <v>41</v>
      </c>
      <c r="J853" s="4" t="s">
        <v>20</v>
      </c>
      <c r="K853" s="4">
        <v>1</v>
      </c>
      <c r="L853" s="5">
        <v>300</v>
      </c>
      <c r="M853" s="5">
        <f>K853 * L853</f>
        <v>300</v>
      </c>
      <c r="N853" s="5">
        <f>M853 * $Q$4</f>
        <v>4.5</v>
      </c>
      <c r="O853" s="5">
        <f>M853* $Q$5</f>
        <v>6</v>
      </c>
    </row>
    <row r="854" spans="1:15">
      <c r="A854" s="2">
        <v>853</v>
      </c>
      <c r="B854" s="4">
        <f t="shared" si="39"/>
        <v>4</v>
      </c>
      <c r="C854" s="4">
        <f t="shared" si="40"/>
        <v>5</v>
      </c>
      <c r="D854" s="4">
        <f t="shared" si="41"/>
        <v>2023</v>
      </c>
      <c r="E854" s="3">
        <v>45050</v>
      </c>
      <c r="F854" s="4" t="s">
        <v>879</v>
      </c>
      <c r="G854" s="4" t="s">
        <v>16</v>
      </c>
      <c r="H854" s="4" t="str" cm="1">
        <f t="array" ref="H854">_xlfn.IFS(I854&lt;30, "Young Adult", I854&gt;=50, "Senior", I854&gt;=30, "Adult")</f>
        <v>Young Adult</v>
      </c>
      <c r="I854" s="4">
        <v>21</v>
      </c>
      <c r="J854" s="4" t="s">
        <v>17</v>
      </c>
      <c r="K854" s="4">
        <v>2</v>
      </c>
      <c r="L854" s="5">
        <v>500</v>
      </c>
      <c r="M854" s="5">
        <f>K854 * L854</f>
        <v>1000</v>
      </c>
      <c r="N854" s="5">
        <f>M854 * $Q$4</f>
        <v>15</v>
      </c>
      <c r="O854" s="5">
        <f>M854* $Q$5</f>
        <v>20</v>
      </c>
    </row>
    <row r="855" spans="1:15">
      <c r="A855" s="2">
        <v>854</v>
      </c>
      <c r="B855" s="4">
        <f t="shared" si="39"/>
        <v>20</v>
      </c>
      <c r="C855" s="4">
        <f t="shared" si="40"/>
        <v>12</v>
      </c>
      <c r="D855" s="4">
        <f t="shared" si="41"/>
        <v>2023</v>
      </c>
      <c r="E855" s="3">
        <v>45280</v>
      </c>
      <c r="F855" s="4" t="s">
        <v>880</v>
      </c>
      <c r="G855" s="4" t="s">
        <v>16</v>
      </c>
      <c r="H855" s="4" t="str" cm="1">
        <f t="array" ref="H855">_xlfn.IFS(I855&lt;30, "Young Adult", I855&gt;=50, "Senior", I855&gt;=30, "Adult")</f>
        <v>Young Adult</v>
      </c>
      <c r="I855" s="4">
        <v>29</v>
      </c>
      <c r="J855" s="4" t="s">
        <v>20</v>
      </c>
      <c r="K855" s="4">
        <v>1</v>
      </c>
      <c r="L855" s="5">
        <v>50</v>
      </c>
      <c r="M855" s="5">
        <f>K855 * L855</f>
        <v>50</v>
      </c>
      <c r="N855" s="5">
        <f>M855 * $Q$4</f>
        <v>0.75</v>
      </c>
      <c r="O855" s="5">
        <f>M855* $Q$5</f>
        <v>1</v>
      </c>
    </row>
    <row r="856" spans="1:15">
      <c r="A856" s="2">
        <v>855</v>
      </c>
      <c r="B856" s="4">
        <f t="shared" si="39"/>
        <v>1</v>
      </c>
      <c r="C856" s="4">
        <f t="shared" si="40"/>
        <v>9</v>
      </c>
      <c r="D856" s="4">
        <f t="shared" si="41"/>
        <v>2023</v>
      </c>
      <c r="E856" s="3">
        <v>45170</v>
      </c>
      <c r="F856" s="4" t="s">
        <v>881</v>
      </c>
      <c r="G856" s="4" t="s">
        <v>16</v>
      </c>
      <c r="H856" s="4" t="str" cm="1">
        <f t="array" ref="H856">_xlfn.IFS(I856&lt;30, "Young Adult", I856&gt;=50, "Senior", I856&gt;=30, "Adult")</f>
        <v>Senior</v>
      </c>
      <c r="I856" s="4">
        <v>54</v>
      </c>
      <c r="J856" s="4" t="s">
        <v>17</v>
      </c>
      <c r="K856" s="4">
        <v>1</v>
      </c>
      <c r="L856" s="5">
        <v>25</v>
      </c>
      <c r="M856" s="5">
        <f>K856 * L856</f>
        <v>25</v>
      </c>
      <c r="N856" s="5">
        <f>M856 * $Q$4</f>
        <v>0.375</v>
      </c>
      <c r="O856" s="5">
        <f>M856* $Q$5</f>
        <v>0.5</v>
      </c>
    </row>
    <row r="857" spans="1:15">
      <c r="A857" s="2">
        <v>856</v>
      </c>
      <c r="B857" s="4">
        <f t="shared" si="39"/>
        <v>27</v>
      </c>
      <c r="C857" s="4">
        <f t="shared" si="40"/>
        <v>11</v>
      </c>
      <c r="D857" s="4">
        <f t="shared" si="41"/>
        <v>2023</v>
      </c>
      <c r="E857" s="3">
        <v>45257</v>
      </c>
      <c r="F857" s="4" t="s">
        <v>882</v>
      </c>
      <c r="G857" s="4" t="s">
        <v>16</v>
      </c>
      <c r="H857" s="4" t="str" cm="1">
        <f t="array" ref="H857">_xlfn.IFS(I857&lt;30, "Young Adult", I857&gt;=50, "Senior", I857&gt;=30, "Adult")</f>
        <v>Senior</v>
      </c>
      <c r="I857" s="4">
        <v>54</v>
      </c>
      <c r="J857" s="4" t="s">
        <v>24</v>
      </c>
      <c r="K857" s="4">
        <v>4</v>
      </c>
      <c r="L857" s="5">
        <v>30</v>
      </c>
      <c r="M857" s="5">
        <f>K857 * L857</f>
        <v>120</v>
      </c>
      <c r="N857" s="5">
        <f>M857 * $Q$4</f>
        <v>1.7999999999999998</v>
      </c>
      <c r="O857" s="5">
        <f>M857* $Q$5</f>
        <v>2.4</v>
      </c>
    </row>
    <row r="858" spans="1:15">
      <c r="A858" s="2">
        <v>857</v>
      </c>
      <c r="B858" s="4">
        <f t="shared" si="39"/>
        <v>31</v>
      </c>
      <c r="C858" s="4">
        <f t="shared" si="40"/>
        <v>12</v>
      </c>
      <c r="D858" s="4">
        <f t="shared" si="41"/>
        <v>2023</v>
      </c>
      <c r="E858" s="3">
        <v>45291</v>
      </c>
      <c r="F858" s="4" t="s">
        <v>883</v>
      </c>
      <c r="G858" s="4" t="s">
        <v>16</v>
      </c>
      <c r="H858" s="4" t="str" cm="1">
        <f t="array" ref="H858">_xlfn.IFS(I858&lt;30, "Young Adult", I858&gt;=50, "Senior", I858&gt;=30, "Adult")</f>
        <v>Senior</v>
      </c>
      <c r="I858" s="4">
        <v>60</v>
      </c>
      <c r="J858" s="4" t="s">
        <v>24</v>
      </c>
      <c r="K858" s="4">
        <v>2</v>
      </c>
      <c r="L858" s="5">
        <v>25</v>
      </c>
      <c r="M858" s="5">
        <f>K858 * L858</f>
        <v>50</v>
      </c>
      <c r="N858" s="5">
        <f>M858 * $Q$4</f>
        <v>0.75</v>
      </c>
      <c r="O858" s="5">
        <f>M858* $Q$5</f>
        <v>1</v>
      </c>
    </row>
    <row r="859" spans="1:15">
      <c r="A859" s="2">
        <v>858</v>
      </c>
      <c r="B859" s="4">
        <f t="shared" si="39"/>
        <v>9</v>
      </c>
      <c r="C859" s="4">
        <f t="shared" si="40"/>
        <v>9</v>
      </c>
      <c r="D859" s="4">
        <f t="shared" si="41"/>
        <v>2023</v>
      </c>
      <c r="E859" s="3">
        <v>45178</v>
      </c>
      <c r="F859" s="4" t="s">
        <v>884</v>
      </c>
      <c r="G859" s="4" t="s">
        <v>16</v>
      </c>
      <c r="H859" s="4" t="str" cm="1">
        <f t="array" ref="H859">_xlfn.IFS(I859&lt;30, "Young Adult", I859&gt;=50, "Senior", I859&gt;=30, "Adult")</f>
        <v>Young Adult</v>
      </c>
      <c r="I859" s="4">
        <v>23</v>
      </c>
      <c r="J859" s="4" t="s">
        <v>24</v>
      </c>
      <c r="K859" s="4">
        <v>2</v>
      </c>
      <c r="L859" s="5">
        <v>50</v>
      </c>
      <c r="M859" s="5">
        <f>K859 * L859</f>
        <v>100</v>
      </c>
      <c r="N859" s="5">
        <f>M859 * $Q$4</f>
        <v>1.5</v>
      </c>
      <c r="O859" s="5">
        <f>M859* $Q$5</f>
        <v>2</v>
      </c>
    </row>
    <row r="860" spans="1:15">
      <c r="A860" s="2">
        <v>859</v>
      </c>
      <c r="B860" s="4">
        <f t="shared" si="39"/>
        <v>18</v>
      </c>
      <c r="C860" s="4">
        <f t="shared" si="40"/>
        <v>8</v>
      </c>
      <c r="D860" s="4">
        <f t="shared" si="41"/>
        <v>2023</v>
      </c>
      <c r="E860" s="3">
        <v>45156</v>
      </c>
      <c r="F860" s="4" t="s">
        <v>885</v>
      </c>
      <c r="G860" s="4" t="s">
        <v>19</v>
      </c>
      <c r="H860" s="4" t="str" cm="1">
        <f t="array" ref="H860">_xlfn.IFS(I860&lt;30, "Young Adult", I860&gt;=50, "Senior", I860&gt;=30, "Adult")</f>
        <v>Senior</v>
      </c>
      <c r="I860" s="4">
        <v>56</v>
      </c>
      <c r="J860" s="4" t="s">
        <v>24</v>
      </c>
      <c r="K860" s="4">
        <v>3</v>
      </c>
      <c r="L860" s="5">
        <v>500</v>
      </c>
      <c r="M860" s="5">
        <f>K860 * L860</f>
        <v>1500</v>
      </c>
      <c r="N860" s="5">
        <f>M860 * $Q$4</f>
        <v>22.5</v>
      </c>
      <c r="O860" s="5">
        <f>M860* $Q$5</f>
        <v>30</v>
      </c>
    </row>
    <row r="861" spans="1:15">
      <c r="A861" s="2">
        <v>860</v>
      </c>
      <c r="B861" s="4">
        <f t="shared" si="39"/>
        <v>9</v>
      </c>
      <c r="C861" s="4">
        <f t="shared" si="40"/>
        <v>1</v>
      </c>
      <c r="D861" s="4">
        <f t="shared" si="41"/>
        <v>2023</v>
      </c>
      <c r="E861" s="3">
        <v>44935</v>
      </c>
      <c r="F861" s="4" t="s">
        <v>886</v>
      </c>
      <c r="G861" s="4" t="s">
        <v>16</v>
      </c>
      <c r="H861" s="4" t="str" cm="1">
        <f t="array" ref="H861">_xlfn.IFS(I861&lt;30, "Young Adult", I861&gt;=50, "Senior", I861&gt;=30, "Adult")</f>
        <v>Senior</v>
      </c>
      <c r="I861" s="4">
        <v>63</v>
      </c>
      <c r="J861" s="4" t="s">
        <v>20</v>
      </c>
      <c r="K861" s="4">
        <v>4</v>
      </c>
      <c r="L861" s="5">
        <v>50</v>
      </c>
      <c r="M861" s="5">
        <f>K861 * L861</f>
        <v>200</v>
      </c>
      <c r="N861" s="5">
        <f>M861 * $Q$4</f>
        <v>3</v>
      </c>
      <c r="O861" s="5">
        <f>M861* $Q$5</f>
        <v>4</v>
      </c>
    </row>
    <row r="862" spans="1:15">
      <c r="A862" s="2">
        <v>861</v>
      </c>
      <c r="B862" s="4">
        <f t="shared" si="39"/>
        <v>17</v>
      </c>
      <c r="C862" s="4">
        <f t="shared" si="40"/>
        <v>2</v>
      </c>
      <c r="D862" s="4">
        <f t="shared" si="41"/>
        <v>2023</v>
      </c>
      <c r="E862" s="3">
        <v>44974</v>
      </c>
      <c r="F862" s="4" t="s">
        <v>887</v>
      </c>
      <c r="G862" s="4" t="s">
        <v>19</v>
      </c>
      <c r="H862" s="4" t="str" cm="1">
        <f t="array" ref="H862">_xlfn.IFS(I862&lt;30, "Young Adult", I862&gt;=50, "Senior", I862&gt;=30, "Adult")</f>
        <v>Adult</v>
      </c>
      <c r="I862" s="4">
        <v>41</v>
      </c>
      <c r="J862" s="4" t="s">
        <v>20</v>
      </c>
      <c r="K862" s="4">
        <v>3</v>
      </c>
      <c r="L862" s="5">
        <v>30</v>
      </c>
      <c r="M862" s="5">
        <f>K862 * L862</f>
        <v>90</v>
      </c>
      <c r="N862" s="5">
        <f>M862 * $Q$4</f>
        <v>1.3499999999999999</v>
      </c>
      <c r="O862" s="5">
        <f>M862* $Q$5</f>
        <v>1.8</v>
      </c>
    </row>
    <row r="863" spans="1:15">
      <c r="A863" s="2">
        <v>862</v>
      </c>
      <c r="B863" s="4">
        <f t="shared" si="39"/>
        <v>31</v>
      </c>
      <c r="C863" s="4">
        <f t="shared" si="40"/>
        <v>5</v>
      </c>
      <c r="D863" s="4">
        <f t="shared" si="41"/>
        <v>2023</v>
      </c>
      <c r="E863" s="3">
        <v>45077</v>
      </c>
      <c r="F863" s="4" t="s">
        <v>888</v>
      </c>
      <c r="G863" s="4" t="s">
        <v>16</v>
      </c>
      <c r="H863" s="4" t="str" cm="1">
        <f t="array" ref="H863">_xlfn.IFS(I863&lt;30, "Young Adult", I863&gt;=50, "Senior", I863&gt;=30, "Adult")</f>
        <v>Young Adult</v>
      </c>
      <c r="I863" s="4">
        <v>28</v>
      </c>
      <c r="J863" s="4" t="s">
        <v>24</v>
      </c>
      <c r="K863" s="4">
        <v>4</v>
      </c>
      <c r="L863" s="5">
        <v>300</v>
      </c>
      <c r="M863" s="5">
        <f>K863 * L863</f>
        <v>1200</v>
      </c>
      <c r="N863" s="5">
        <f>M863 * $Q$4</f>
        <v>18</v>
      </c>
      <c r="O863" s="5">
        <f>M863* $Q$5</f>
        <v>24</v>
      </c>
    </row>
    <row r="864" spans="1:15">
      <c r="A864" s="2">
        <v>863</v>
      </c>
      <c r="B864" s="4">
        <f t="shared" si="39"/>
        <v>24</v>
      </c>
      <c r="C864" s="4">
        <f t="shared" si="40"/>
        <v>4</v>
      </c>
      <c r="D864" s="4">
        <f t="shared" si="41"/>
        <v>2023</v>
      </c>
      <c r="E864" s="3">
        <v>45040</v>
      </c>
      <c r="F864" s="4" t="s">
        <v>889</v>
      </c>
      <c r="G864" s="4" t="s">
        <v>19</v>
      </c>
      <c r="H864" s="4" t="str" cm="1">
        <f t="array" ref="H864">_xlfn.IFS(I864&lt;30, "Young Adult", I864&gt;=50, "Senior", I864&gt;=30, "Adult")</f>
        <v>Adult</v>
      </c>
      <c r="I864" s="4">
        <v>30</v>
      </c>
      <c r="J864" s="4" t="s">
        <v>24</v>
      </c>
      <c r="K864" s="4">
        <v>2</v>
      </c>
      <c r="L864" s="5">
        <v>25</v>
      </c>
      <c r="M864" s="5">
        <f>K864 * L864</f>
        <v>50</v>
      </c>
      <c r="N864" s="5">
        <f>M864 * $Q$4</f>
        <v>0.75</v>
      </c>
      <c r="O864" s="5">
        <f>M864* $Q$5</f>
        <v>1</v>
      </c>
    </row>
    <row r="865" spans="1:15">
      <c r="A865" s="2">
        <v>864</v>
      </c>
      <c r="B865" s="4">
        <f t="shared" si="39"/>
        <v>27</v>
      </c>
      <c r="C865" s="4">
        <f t="shared" si="40"/>
        <v>7</v>
      </c>
      <c r="D865" s="4">
        <f t="shared" si="41"/>
        <v>2023</v>
      </c>
      <c r="E865" s="3">
        <v>45134</v>
      </c>
      <c r="F865" s="4" t="s">
        <v>890</v>
      </c>
      <c r="G865" s="4" t="s">
        <v>19</v>
      </c>
      <c r="H865" s="4" t="str" cm="1">
        <f t="array" ref="H865">_xlfn.IFS(I865&lt;30, "Young Adult", I865&gt;=50, "Senior", I865&gt;=30, "Adult")</f>
        <v>Senior</v>
      </c>
      <c r="I865" s="4">
        <v>51</v>
      </c>
      <c r="J865" s="4" t="s">
        <v>24</v>
      </c>
      <c r="K865" s="4">
        <v>1</v>
      </c>
      <c r="L865" s="5">
        <v>500</v>
      </c>
      <c r="M865" s="5">
        <f>K865 * L865</f>
        <v>500</v>
      </c>
      <c r="N865" s="5">
        <f>M865 * $Q$4</f>
        <v>7.5</v>
      </c>
      <c r="O865" s="5">
        <f>M865* $Q$5</f>
        <v>10</v>
      </c>
    </row>
    <row r="866" spans="1:15">
      <c r="A866" s="2">
        <v>865</v>
      </c>
      <c r="B866" s="4">
        <f t="shared" si="39"/>
        <v>21</v>
      </c>
      <c r="C866" s="4">
        <f t="shared" si="40"/>
        <v>12</v>
      </c>
      <c r="D866" s="4">
        <f t="shared" si="41"/>
        <v>2023</v>
      </c>
      <c r="E866" s="3">
        <v>45281</v>
      </c>
      <c r="F866" s="4" t="s">
        <v>891</v>
      </c>
      <c r="G866" s="4" t="s">
        <v>19</v>
      </c>
      <c r="H866" s="4" t="str" cm="1">
        <f t="array" ref="H866">_xlfn.IFS(I866&lt;30, "Young Adult", I866&gt;=50, "Senior", I866&gt;=30, "Adult")</f>
        <v>Adult</v>
      </c>
      <c r="I866" s="4">
        <v>42</v>
      </c>
      <c r="J866" s="4" t="s">
        <v>20</v>
      </c>
      <c r="K866" s="4">
        <v>1</v>
      </c>
      <c r="L866" s="5">
        <v>300</v>
      </c>
      <c r="M866" s="5">
        <f>K866 * L866</f>
        <v>300</v>
      </c>
      <c r="N866" s="5">
        <f>M866 * $Q$4</f>
        <v>4.5</v>
      </c>
      <c r="O866" s="5">
        <f>M866* $Q$5</f>
        <v>6</v>
      </c>
    </row>
    <row r="867" spans="1:15">
      <c r="A867" s="2">
        <v>866</v>
      </c>
      <c r="B867" s="4">
        <f t="shared" si="39"/>
        <v>5</v>
      </c>
      <c r="C867" s="4">
        <f t="shared" si="40"/>
        <v>5</v>
      </c>
      <c r="D867" s="4">
        <f t="shared" si="41"/>
        <v>2023</v>
      </c>
      <c r="E867" s="3">
        <v>45051</v>
      </c>
      <c r="F867" s="4" t="s">
        <v>892</v>
      </c>
      <c r="G867" s="4" t="s">
        <v>16</v>
      </c>
      <c r="H867" s="4" t="str" cm="1">
        <f t="array" ref="H867">_xlfn.IFS(I867&lt;30, "Young Adult", I867&gt;=50, "Senior", I867&gt;=30, "Adult")</f>
        <v>Young Adult</v>
      </c>
      <c r="I867" s="4">
        <v>24</v>
      </c>
      <c r="J867" s="4" t="s">
        <v>24</v>
      </c>
      <c r="K867" s="4">
        <v>1</v>
      </c>
      <c r="L867" s="5">
        <v>50</v>
      </c>
      <c r="M867" s="5">
        <f>K867 * L867</f>
        <v>50</v>
      </c>
      <c r="N867" s="5">
        <f>M867 * $Q$4</f>
        <v>0.75</v>
      </c>
      <c r="O867" s="5">
        <f>M867* $Q$5</f>
        <v>1</v>
      </c>
    </row>
    <row r="868" spans="1:15">
      <c r="A868" s="2">
        <v>867</v>
      </c>
      <c r="B868" s="4">
        <f t="shared" si="39"/>
        <v>6</v>
      </c>
      <c r="C868" s="4">
        <f t="shared" si="40"/>
        <v>6</v>
      </c>
      <c r="D868" s="4">
        <f t="shared" si="41"/>
        <v>2023</v>
      </c>
      <c r="E868" s="3">
        <v>45083</v>
      </c>
      <c r="F868" s="4" t="s">
        <v>893</v>
      </c>
      <c r="G868" s="4" t="s">
        <v>16</v>
      </c>
      <c r="H868" s="4" t="str" cm="1">
        <f t="array" ref="H868">_xlfn.IFS(I868&lt;30, "Young Adult", I868&gt;=50, "Senior", I868&gt;=30, "Adult")</f>
        <v>Young Adult</v>
      </c>
      <c r="I868" s="4">
        <v>21</v>
      </c>
      <c r="J868" s="4" t="s">
        <v>24</v>
      </c>
      <c r="K868" s="4">
        <v>1</v>
      </c>
      <c r="L868" s="5">
        <v>500</v>
      </c>
      <c r="M868" s="5">
        <f>K868 * L868</f>
        <v>500</v>
      </c>
      <c r="N868" s="5">
        <f>M868 * $Q$4</f>
        <v>7.5</v>
      </c>
      <c r="O868" s="5">
        <f>M868* $Q$5</f>
        <v>10</v>
      </c>
    </row>
    <row r="869" spans="1:15">
      <c r="A869" s="2">
        <v>868</v>
      </c>
      <c r="B869" s="4">
        <f t="shared" si="39"/>
        <v>6</v>
      </c>
      <c r="C869" s="4">
        <f t="shared" si="40"/>
        <v>12</v>
      </c>
      <c r="D869" s="4">
        <f t="shared" si="41"/>
        <v>2023</v>
      </c>
      <c r="E869" s="3">
        <v>45266</v>
      </c>
      <c r="F869" s="4" t="s">
        <v>894</v>
      </c>
      <c r="G869" s="4" t="s">
        <v>19</v>
      </c>
      <c r="H869" s="4" t="str" cm="1">
        <f t="array" ref="H869">_xlfn.IFS(I869&lt;30, "Young Adult", I869&gt;=50, "Senior", I869&gt;=30, "Adult")</f>
        <v>Young Adult</v>
      </c>
      <c r="I869" s="4">
        <v>25</v>
      </c>
      <c r="J869" s="4" t="s">
        <v>24</v>
      </c>
      <c r="K869" s="4">
        <v>1</v>
      </c>
      <c r="L869" s="5">
        <v>300</v>
      </c>
      <c r="M869" s="5">
        <f>K869 * L869</f>
        <v>300</v>
      </c>
      <c r="N869" s="5">
        <f>M869 * $Q$4</f>
        <v>4.5</v>
      </c>
      <c r="O869" s="5">
        <f>M869* $Q$5</f>
        <v>6</v>
      </c>
    </row>
    <row r="870" spans="1:15">
      <c r="A870" s="2">
        <v>869</v>
      </c>
      <c r="B870" s="4">
        <f t="shared" si="39"/>
        <v>25</v>
      </c>
      <c r="C870" s="4">
        <f t="shared" si="40"/>
        <v>10</v>
      </c>
      <c r="D870" s="4">
        <f t="shared" si="41"/>
        <v>2023</v>
      </c>
      <c r="E870" s="3">
        <v>45224</v>
      </c>
      <c r="F870" s="4" t="s">
        <v>895</v>
      </c>
      <c r="G870" s="4" t="s">
        <v>16</v>
      </c>
      <c r="H870" s="4" t="str" cm="1">
        <f t="array" ref="H870">_xlfn.IFS(I870&lt;30, "Young Adult", I870&gt;=50, "Senior", I870&gt;=30, "Adult")</f>
        <v>Adult</v>
      </c>
      <c r="I870" s="4">
        <v>37</v>
      </c>
      <c r="J870" s="4" t="s">
        <v>17</v>
      </c>
      <c r="K870" s="4">
        <v>3</v>
      </c>
      <c r="L870" s="5">
        <v>500</v>
      </c>
      <c r="M870" s="5">
        <f>K870 * L870</f>
        <v>1500</v>
      </c>
      <c r="N870" s="5">
        <f>M870 * $Q$4</f>
        <v>22.5</v>
      </c>
      <c r="O870" s="5">
        <f>M870* $Q$5</f>
        <v>30</v>
      </c>
    </row>
    <row r="871" spans="1:15">
      <c r="A871" s="2">
        <v>870</v>
      </c>
      <c r="B871" s="4">
        <f t="shared" si="39"/>
        <v>8</v>
      </c>
      <c r="C871" s="4">
        <f t="shared" si="40"/>
        <v>7</v>
      </c>
      <c r="D871" s="4">
        <f t="shared" si="41"/>
        <v>2023</v>
      </c>
      <c r="E871" s="3">
        <v>45115</v>
      </c>
      <c r="F871" s="4" t="s">
        <v>896</v>
      </c>
      <c r="G871" s="4" t="s">
        <v>19</v>
      </c>
      <c r="H871" s="4" t="str" cm="1">
        <f t="array" ref="H871">_xlfn.IFS(I871&lt;30, "Young Adult", I871&gt;=50, "Senior", I871&gt;=30, "Adult")</f>
        <v>Adult</v>
      </c>
      <c r="I871" s="4">
        <v>46</v>
      </c>
      <c r="J871" s="4" t="s">
        <v>24</v>
      </c>
      <c r="K871" s="4">
        <v>4</v>
      </c>
      <c r="L871" s="5">
        <v>30</v>
      </c>
      <c r="M871" s="5">
        <f>K871 * L871</f>
        <v>120</v>
      </c>
      <c r="N871" s="5">
        <f>M871 * $Q$4</f>
        <v>1.7999999999999998</v>
      </c>
      <c r="O871" s="5">
        <f>M871* $Q$5</f>
        <v>2.4</v>
      </c>
    </row>
    <row r="872" spans="1:15">
      <c r="A872" s="2">
        <v>871</v>
      </c>
      <c r="B872" s="4">
        <f t="shared" si="39"/>
        <v>31</v>
      </c>
      <c r="C872" s="4">
        <f t="shared" si="40"/>
        <v>8</v>
      </c>
      <c r="D872" s="4">
        <f t="shared" si="41"/>
        <v>2023</v>
      </c>
      <c r="E872" s="3">
        <v>45169</v>
      </c>
      <c r="F872" s="4" t="s">
        <v>897</v>
      </c>
      <c r="G872" s="4" t="s">
        <v>16</v>
      </c>
      <c r="H872" s="4" t="str" cm="1">
        <f t="array" ref="H872">_xlfn.IFS(I872&lt;30, "Young Adult", I872&gt;=50, "Senior", I872&gt;=30, "Adult")</f>
        <v>Senior</v>
      </c>
      <c r="I872" s="4">
        <v>62</v>
      </c>
      <c r="J872" s="4" t="s">
        <v>17</v>
      </c>
      <c r="K872" s="4">
        <v>2</v>
      </c>
      <c r="L872" s="5">
        <v>30</v>
      </c>
      <c r="M872" s="5">
        <f>K872 * L872</f>
        <v>60</v>
      </c>
      <c r="N872" s="5">
        <f>M872 * $Q$4</f>
        <v>0.89999999999999991</v>
      </c>
      <c r="O872" s="5">
        <f>M872* $Q$5</f>
        <v>1.2</v>
      </c>
    </row>
    <row r="873" spans="1:15">
      <c r="A873" s="2">
        <v>872</v>
      </c>
      <c r="B873" s="4">
        <f t="shared" si="39"/>
        <v>11</v>
      </c>
      <c r="C873" s="4">
        <f t="shared" si="40"/>
        <v>10</v>
      </c>
      <c r="D873" s="4">
        <f t="shared" si="41"/>
        <v>2023</v>
      </c>
      <c r="E873" s="3">
        <v>45210</v>
      </c>
      <c r="F873" s="4" t="s">
        <v>898</v>
      </c>
      <c r="G873" s="4" t="s">
        <v>19</v>
      </c>
      <c r="H873" s="4" t="str" cm="1">
        <f t="array" ref="H873">_xlfn.IFS(I873&lt;30, "Young Adult", I873&gt;=50, "Senior", I873&gt;=30, "Adult")</f>
        <v>Senior</v>
      </c>
      <c r="I873" s="4">
        <v>63</v>
      </c>
      <c r="J873" s="4" t="s">
        <v>17</v>
      </c>
      <c r="K873" s="4">
        <v>3</v>
      </c>
      <c r="L873" s="5">
        <v>25</v>
      </c>
      <c r="M873" s="5">
        <f>K873 * L873</f>
        <v>75</v>
      </c>
      <c r="N873" s="5">
        <f>M873 * $Q$4</f>
        <v>1.125</v>
      </c>
      <c r="O873" s="5">
        <f>M873* $Q$5</f>
        <v>1.5</v>
      </c>
    </row>
    <row r="874" spans="1:15">
      <c r="A874" s="2">
        <v>873</v>
      </c>
      <c r="B874" s="4">
        <f t="shared" si="39"/>
        <v>29</v>
      </c>
      <c r="C874" s="4">
        <f t="shared" si="40"/>
        <v>9</v>
      </c>
      <c r="D874" s="4">
        <f t="shared" si="41"/>
        <v>2023</v>
      </c>
      <c r="E874" s="3">
        <v>45198</v>
      </c>
      <c r="F874" s="4" t="s">
        <v>899</v>
      </c>
      <c r="G874" s="4" t="s">
        <v>19</v>
      </c>
      <c r="H874" s="4" t="str" cm="1">
        <f t="array" ref="H874">_xlfn.IFS(I874&lt;30, "Young Adult", I874&gt;=50, "Senior", I874&gt;=30, "Adult")</f>
        <v>Young Adult</v>
      </c>
      <c r="I874" s="4">
        <v>27</v>
      </c>
      <c r="J874" s="4" t="s">
        <v>24</v>
      </c>
      <c r="K874" s="4">
        <v>4</v>
      </c>
      <c r="L874" s="5">
        <v>25</v>
      </c>
      <c r="M874" s="5">
        <f>K874 * L874</f>
        <v>100</v>
      </c>
      <c r="N874" s="5">
        <f>M874 * $Q$4</f>
        <v>1.5</v>
      </c>
      <c r="O874" s="5">
        <f>M874* $Q$5</f>
        <v>2</v>
      </c>
    </row>
    <row r="875" spans="1:15">
      <c r="A875" s="2">
        <v>874</v>
      </c>
      <c r="B875" s="4">
        <f t="shared" si="39"/>
        <v>26</v>
      </c>
      <c r="C875" s="4">
        <f t="shared" si="40"/>
        <v>6</v>
      </c>
      <c r="D875" s="4">
        <f t="shared" si="41"/>
        <v>2023</v>
      </c>
      <c r="E875" s="3">
        <v>45103</v>
      </c>
      <c r="F875" s="4" t="s">
        <v>900</v>
      </c>
      <c r="G875" s="4" t="s">
        <v>16</v>
      </c>
      <c r="H875" s="4" t="str" cm="1">
        <f t="array" ref="H875">_xlfn.IFS(I875&lt;30, "Young Adult", I875&gt;=50, "Senior", I875&gt;=30, "Adult")</f>
        <v>Senior</v>
      </c>
      <c r="I875" s="4">
        <v>60</v>
      </c>
      <c r="J875" s="4" t="s">
        <v>17</v>
      </c>
      <c r="K875" s="4">
        <v>1</v>
      </c>
      <c r="L875" s="5">
        <v>30</v>
      </c>
      <c r="M875" s="5">
        <f>K875 * L875</f>
        <v>30</v>
      </c>
      <c r="N875" s="5">
        <f>M875 * $Q$4</f>
        <v>0.44999999999999996</v>
      </c>
      <c r="O875" s="5">
        <f>M875* $Q$5</f>
        <v>0.6</v>
      </c>
    </row>
    <row r="876" spans="1:15">
      <c r="A876" s="2">
        <v>875</v>
      </c>
      <c r="B876" s="4">
        <f t="shared" si="39"/>
        <v>6</v>
      </c>
      <c r="C876" s="4">
        <f t="shared" si="40"/>
        <v>8</v>
      </c>
      <c r="D876" s="4">
        <f t="shared" si="41"/>
        <v>2023</v>
      </c>
      <c r="E876" s="3">
        <v>45144</v>
      </c>
      <c r="F876" s="4" t="s">
        <v>901</v>
      </c>
      <c r="G876" s="4" t="s">
        <v>19</v>
      </c>
      <c r="H876" s="4" t="str" cm="1">
        <f t="array" ref="H876">_xlfn.IFS(I876&lt;30, "Young Adult", I876&gt;=50, "Senior", I876&gt;=30, "Adult")</f>
        <v>Senior</v>
      </c>
      <c r="I876" s="4">
        <v>51</v>
      </c>
      <c r="J876" s="4" t="s">
        <v>24</v>
      </c>
      <c r="K876" s="4">
        <v>4</v>
      </c>
      <c r="L876" s="5">
        <v>500</v>
      </c>
      <c r="M876" s="5">
        <f>K876 * L876</f>
        <v>2000</v>
      </c>
      <c r="N876" s="5">
        <f>M876 * $Q$4</f>
        <v>30</v>
      </c>
      <c r="O876" s="5">
        <f>M876* $Q$5</f>
        <v>40</v>
      </c>
    </row>
    <row r="877" spans="1:15">
      <c r="A877" s="2">
        <v>876</v>
      </c>
      <c r="B877" s="4">
        <f t="shared" si="39"/>
        <v>9</v>
      </c>
      <c r="C877" s="4">
        <f t="shared" si="40"/>
        <v>10</v>
      </c>
      <c r="D877" s="4">
        <f t="shared" si="41"/>
        <v>2023</v>
      </c>
      <c r="E877" s="3">
        <v>45208</v>
      </c>
      <c r="F877" s="4" t="s">
        <v>902</v>
      </c>
      <c r="G877" s="4" t="s">
        <v>16</v>
      </c>
      <c r="H877" s="4" t="str" cm="1">
        <f t="array" ref="H877">_xlfn.IFS(I877&lt;30, "Young Adult", I877&gt;=50, "Senior", I877&gt;=30, "Adult")</f>
        <v>Adult</v>
      </c>
      <c r="I877" s="4">
        <v>43</v>
      </c>
      <c r="J877" s="4" t="s">
        <v>20</v>
      </c>
      <c r="K877" s="4">
        <v>4</v>
      </c>
      <c r="L877" s="5">
        <v>30</v>
      </c>
      <c r="M877" s="5">
        <f>K877 * L877</f>
        <v>120</v>
      </c>
      <c r="N877" s="5">
        <f>M877 * $Q$4</f>
        <v>1.7999999999999998</v>
      </c>
      <c r="O877" s="5">
        <f>M877* $Q$5</f>
        <v>2.4</v>
      </c>
    </row>
    <row r="878" spans="1:15">
      <c r="A878" s="2">
        <v>877</v>
      </c>
      <c r="B878" s="4">
        <f t="shared" si="39"/>
        <v>19</v>
      </c>
      <c r="C878" s="4">
        <f t="shared" si="40"/>
        <v>6</v>
      </c>
      <c r="D878" s="4">
        <f t="shared" si="41"/>
        <v>2023</v>
      </c>
      <c r="E878" s="3">
        <v>45096</v>
      </c>
      <c r="F878" s="4" t="s">
        <v>903</v>
      </c>
      <c r="G878" s="4" t="s">
        <v>19</v>
      </c>
      <c r="H878" s="4" t="str" cm="1">
        <f t="array" ref="H878">_xlfn.IFS(I878&lt;30, "Young Adult", I878&gt;=50, "Senior", I878&gt;=30, "Adult")</f>
        <v>Senior</v>
      </c>
      <c r="I878" s="4">
        <v>58</v>
      </c>
      <c r="J878" s="4" t="s">
        <v>20</v>
      </c>
      <c r="K878" s="4">
        <v>1</v>
      </c>
      <c r="L878" s="5">
        <v>25</v>
      </c>
      <c r="M878" s="5">
        <f>K878 * L878</f>
        <v>25</v>
      </c>
      <c r="N878" s="5">
        <f>M878 * $Q$4</f>
        <v>0.375</v>
      </c>
      <c r="O878" s="5">
        <f>M878* $Q$5</f>
        <v>0.5</v>
      </c>
    </row>
    <row r="879" spans="1:15">
      <c r="A879" s="2">
        <v>878</v>
      </c>
      <c r="B879" s="4">
        <f t="shared" si="39"/>
        <v>30</v>
      </c>
      <c r="C879" s="4">
        <f t="shared" si="40"/>
        <v>6</v>
      </c>
      <c r="D879" s="4">
        <f t="shared" si="41"/>
        <v>2023</v>
      </c>
      <c r="E879" s="3">
        <v>45107</v>
      </c>
      <c r="F879" s="4" t="s">
        <v>904</v>
      </c>
      <c r="G879" s="4" t="s">
        <v>19</v>
      </c>
      <c r="H879" s="4" t="str" cm="1">
        <f t="array" ref="H879">_xlfn.IFS(I879&lt;30, "Young Adult", I879&gt;=50, "Senior", I879&gt;=30, "Adult")</f>
        <v>Young Adult</v>
      </c>
      <c r="I879" s="4">
        <v>20</v>
      </c>
      <c r="J879" s="4" t="s">
        <v>20</v>
      </c>
      <c r="K879" s="4">
        <v>1</v>
      </c>
      <c r="L879" s="5">
        <v>30</v>
      </c>
      <c r="M879" s="5">
        <f>K879 * L879</f>
        <v>30</v>
      </c>
      <c r="N879" s="5">
        <f>M879 * $Q$4</f>
        <v>0.44999999999999996</v>
      </c>
      <c r="O879" s="5">
        <f>M879* $Q$5</f>
        <v>0.6</v>
      </c>
    </row>
    <row r="880" spans="1:15">
      <c r="A880" s="2">
        <v>879</v>
      </c>
      <c r="B880" s="4">
        <f t="shared" si="39"/>
        <v>26</v>
      </c>
      <c r="C880" s="4">
        <f t="shared" si="40"/>
        <v>12</v>
      </c>
      <c r="D880" s="4">
        <f t="shared" si="41"/>
        <v>2023</v>
      </c>
      <c r="E880" s="3">
        <v>45286</v>
      </c>
      <c r="F880" s="4" t="s">
        <v>905</v>
      </c>
      <c r="G880" s="4" t="s">
        <v>16</v>
      </c>
      <c r="H880" s="4" t="str" cm="1">
        <f t="array" ref="H880">_xlfn.IFS(I880&lt;30, "Young Adult", I880&gt;=50, "Senior", I880&gt;=30, "Adult")</f>
        <v>Young Adult</v>
      </c>
      <c r="I880" s="4">
        <v>23</v>
      </c>
      <c r="J880" s="4" t="s">
        <v>20</v>
      </c>
      <c r="K880" s="4">
        <v>1</v>
      </c>
      <c r="L880" s="5">
        <v>30</v>
      </c>
      <c r="M880" s="5">
        <f>K880 * L880</f>
        <v>30</v>
      </c>
      <c r="N880" s="5">
        <f>M880 * $Q$4</f>
        <v>0.44999999999999996</v>
      </c>
      <c r="O880" s="5">
        <f>M880* $Q$5</f>
        <v>0.6</v>
      </c>
    </row>
    <row r="881" spans="1:15">
      <c r="A881" s="2">
        <v>880</v>
      </c>
      <c r="B881" s="4">
        <f t="shared" si="39"/>
        <v>21</v>
      </c>
      <c r="C881" s="4">
        <f t="shared" si="40"/>
        <v>8</v>
      </c>
      <c r="D881" s="4">
        <f t="shared" si="41"/>
        <v>2023</v>
      </c>
      <c r="E881" s="3">
        <v>45159</v>
      </c>
      <c r="F881" s="4" t="s">
        <v>906</v>
      </c>
      <c r="G881" s="4" t="s">
        <v>16</v>
      </c>
      <c r="H881" s="4" t="str" cm="1">
        <f t="array" ref="H881">_xlfn.IFS(I881&lt;30, "Young Adult", I881&gt;=50, "Senior", I881&gt;=30, "Adult")</f>
        <v>Young Adult</v>
      </c>
      <c r="I881" s="4">
        <v>22</v>
      </c>
      <c r="J881" s="4" t="s">
        <v>17</v>
      </c>
      <c r="K881" s="4">
        <v>2</v>
      </c>
      <c r="L881" s="5">
        <v>500</v>
      </c>
      <c r="M881" s="5">
        <f>K881 * L881</f>
        <v>1000</v>
      </c>
      <c r="N881" s="5">
        <f>M881 * $Q$4</f>
        <v>15</v>
      </c>
      <c r="O881" s="5">
        <f>M881* $Q$5</f>
        <v>20</v>
      </c>
    </row>
    <row r="882" spans="1:15">
      <c r="A882" s="2">
        <v>881</v>
      </c>
      <c r="B882" s="4">
        <f t="shared" si="39"/>
        <v>19</v>
      </c>
      <c r="C882" s="4">
        <f t="shared" si="40"/>
        <v>5</v>
      </c>
      <c r="D882" s="4">
        <f t="shared" si="41"/>
        <v>2023</v>
      </c>
      <c r="E882" s="3">
        <v>45065</v>
      </c>
      <c r="F882" s="4" t="s">
        <v>907</v>
      </c>
      <c r="G882" s="4" t="s">
        <v>16</v>
      </c>
      <c r="H882" s="4" t="str" cm="1">
        <f t="array" ref="H882">_xlfn.IFS(I882&lt;30, "Young Adult", I882&gt;=50, "Senior", I882&gt;=30, "Adult")</f>
        <v>Young Adult</v>
      </c>
      <c r="I882" s="4">
        <v>22</v>
      </c>
      <c r="J882" s="4" t="s">
        <v>24</v>
      </c>
      <c r="K882" s="4">
        <v>1</v>
      </c>
      <c r="L882" s="5">
        <v>300</v>
      </c>
      <c r="M882" s="5">
        <f>K882 * L882</f>
        <v>300</v>
      </c>
      <c r="N882" s="5">
        <f>M882 * $Q$4</f>
        <v>4.5</v>
      </c>
      <c r="O882" s="5">
        <f>M882* $Q$5</f>
        <v>6</v>
      </c>
    </row>
    <row r="883" spans="1:15">
      <c r="A883" s="2">
        <v>882</v>
      </c>
      <c r="B883" s="4">
        <f t="shared" si="39"/>
        <v>6</v>
      </c>
      <c r="C883" s="4">
        <f t="shared" si="40"/>
        <v>6</v>
      </c>
      <c r="D883" s="4">
        <f t="shared" si="41"/>
        <v>2023</v>
      </c>
      <c r="E883" s="3">
        <v>45083</v>
      </c>
      <c r="F883" s="4" t="s">
        <v>908</v>
      </c>
      <c r="G883" s="4" t="s">
        <v>19</v>
      </c>
      <c r="H883" s="4" t="str" cm="1">
        <f t="array" ref="H883">_xlfn.IFS(I883&lt;30, "Young Adult", I883&gt;=50, "Senior", I883&gt;=30, "Adult")</f>
        <v>Senior</v>
      </c>
      <c r="I883" s="4">
        <v>64</v>
      </c>
      <c r="J883" s="4" t="s">
        <v>24</v>
      </c>
      <c r="K883" s="4">
        <v>2</v>
      </c>
      <c r="L883" s="5">
        <v>25</v>
      </c>
      <c r="M883" s="5">
        <f>K883 * L883</f>
        <v>50</v>
      </c>
      <c r="N883" s="5">
        <f>M883 * $Q$4</f>
        <v>0.75</v>
      </c>
      <c r="O883" s="5">
        <f>M883* $Q$5</f>
        <v>1</v>
      </c>
    </row>
    <row r="884" spans="1:15">
      <c r="A884" s="2">
        <v>883</v>
      </c>
      <c r="B884" s="4">
        <f t="shared" si="39"/>
        <v>9</v>
      </c>
      <c r="C884" s="4">
        <f t="shared" si="40"/>
        <v>5</v>
      </c>
      <c r="D884" s="4">
        <f t="shared" si="41"/>
        <v>2023</v>
      </c>
      <c r="E884" s="3">
        <v>45055</v>
      </c>
      <c r="F884" s="4" t="s">
        <v>909</v>
      </c>
      <c r="G884" s="4" t="s">
        <v>16</v>
      </c>
      <c r="H884" s="4" t="str" cm="1">
        <f t="array" ref="H884">_xlfn.IFS(I884&lt;30, "Young Adult", I884&gt;=50, "Senior", I884&gt;=30, "Adult")</f>
        <v>Adult</v>
      </c>
      <c r="I884" s="4">
        <v>40</v>
      </c>
      <c r="J884" s="4" t="s">
        <v>24</v>
      </c>
      <c r="K884" s="4">
        <v>1</v>
      </c>
      <c r="L884" s="5">
        <v>500</v>
      </c>
      <c r="M884" s="5">
        <f>K884 * L884</f>
        <v>500</v>
      </c>
      <c r="N884" s="5">
        <f>M884 * $Q$4</f>
        <v>7.5</v>
      </c>
      <c r="O884" s="5">
        <f>M884* $Q$5</f>
        <v>10</v>
      </c>
    </row>
    <row r="885" spans="1:15">
      <c r="A885" s="2">
        <v>884</v>
      </c>
      <c r="B885" s="4">
        <f t="shared" si="39"/>
        <v>29</v>
      </c>
      <c r="C885" s="4">
        <f t="shared" si="40"/>
        <v>4</v>
      </c>
      <c r="D885" s="4">
        <f t="shared" si="41"/>
        <v>2023</v>
      </c>
      <c r="E885" s="3">
        <v>45045</v>
      </c>
      <c r="F885" s="4" t="s">
        <v>910</v>
      </c>
      <c r="G885" s="4" t="s">
        <v>19</v>
      </c>
      <c r="H885" s="4" t="str" cm="1">
        <f t="array" ref="H885">_xlfn.IFS(I885&lt;30, "Young Adult", I885&gt;=50, "Senior", I885&gt;=30, "Adult")</f>
        <v>Young Adult</v>
      </c>
      <c r="I885" s="4">
        <v>26</v>
      </c>
      <c r="J885" s="4" t="s">
        <v>20</v>
      </c>
      <c r="K885" s="4">
        <v>2</v>
      </c>
      <c r="L885" s="5">
        <v>30</v>
      </c>
      <c r="M885" s="5">
        <f>K885 * L885</f>
        <v>60</v>
      </c>
      <c r="N885" s="5">
        <f>M885 * $Q$4</f>
        <v>0.89999999999999991</v>
      </c>
      <c r="O885" s="5">
        <f>M885* $Q$5</f>
        <v>1.2</v>
      </c>
    </row>
    <row r="886" spans="1:15">
      <c r="A886" s="2">
        <v>885</v>
      </c>
      <c r="B886" s="4">
        <f t="shared" si="39"/>
        <v>3</v>
      </c>
      <c r="C886" s="4">
        <f t="shared" si="40"/>
        <v>3</v>
      </c>
      <c r="D886" s="4">
        <f t="shared" si="41"/>
        <v>2023</v>
      </c>
      <c r="E886" s="3">
        <v>44988</v>
      </c>
      <c r="F886" s="4" t="s">
        <v>911</v>
      </c>
      <c r="G886" s="4" t="s">
        <v>19</v>
      </c>
      <c r="H886" s="4" t="str" cm="1">
        <f t="array" ref="H886">_xlfn.IFS(I886&lt;30, "Young Adult", I886&gt;=50, "Senior", I886&gt;=30, "Adult")</f>
        <v>Senior</v>
      </c>
      <c r="I886" s="4">
        <v>52</v>
      </c>
      <c r="J886" s="4" t="s">
        <v>20</v>
      </c>
      <c r="K886" s="4">
        <v>4</v>
      </c>
      <c r="L886" s="5">
        <v>30</v>
      </c>
      <c r="M886" s="5">
        <f>K886 * L886</f>
        <v>120</v>
      </c>
      <c r="N886" s="5">
        <f>M886 * $Q$4</f>
        <v>1.7999999999999998</v>
      </c>
      <c r="O886" s="5">
        <f>M886* $Q$5</f>
        <v>2.4</v>
      </c>
    </row>
    <row r="887" spans="1:15">
      <c r="A887" s="2">
        <v>886</v>
      </c>
      <c r="B887" s="4">
        <f t="shared" si="39"/>
        <v>9</v>
      </c>
      <c r="C887" s="4">
        <f t="shared" si="40"/>
        <v>4</v>
      </c>
      <c r="D887" s="4">
        <f t="shared" si="41"/>
        <v>2023</v>
      </c>
      <c r="E887" s="3">
        <v>45025</v>
      </c>
      <c r="F887" s="4" t="s">
        <v>912</v>
      </c>
      <c r="G887" s="4" t="s">
        <v>16</v>
      </c>
      <c r="H887" s="4" t="str" cm="1">
        <f t="array" ref="H887">_xlfn.IFS(I887&lt;30, "Young Adult", I887&gt;=50, "Senior", I887&gt;=30, "Adult")</f>
        <v>Adult</v>
      </c>
      <c r="I887" s="4">
        <v>37</v>
      </c>
      <c r="J887" s="4" t="s">
        <v>24</v>
      </c>
      <c r="K887" s="4">
        <v>3</v>
      </c>
      <c r="L887" s="5">
        <v>300</v>
      </c>
      <c r="M887" s="5">
        <f>K887 * L887</f>
        <v>900</v>
      </c>
      <c r="N887" s="5">
        <f>M887 * $Q$4</f>
        <v>13.5</v>
      </c>
      <c r="O887" s="5">
        <f>M887* $Q$5</f>
        <v>18</v>
      </c>
    </row>
    <row r="888" spans="1:15">
      <c r="A888" s="2">
        <v>887</v>
      </c>
      <c r="B888" s="4">
        <f t="shared" si="39"/>
        <v>11</v>
      </c>
      <c r="C888" s="4">
        <f t="shared" si="40"/>
        <v>6</v>
      </c>
      <c r="D888" s="4">
        <f t="shared" si="41"/>
        <v>2023</v>
      </c>
      <c r="E888" s="3">
        <v>45088</v>
      </c>
      <c r="F888" s="4" t="s">
        <v>913</v>
      </c>
      <c r="G888" s="4" t="s">
        <v>16</v>
      </c>
      <c r="H888" s="4" t="str" cm="1">
        <f t="array" ref="H888">_xlfn.IFS(I888&lt;30, "Young Adult", I888&gt;=50, "Senior", I888&gt;=30, "Adult")</f>
        <v>Senior</v>
      </c>
      <c r="I888" s="4">
        <v>59</v>
      </c>
      <c r="J888" s="4" t="s">
        <v>20</v>
      </c>
      <c r="K888" s="4">
        <v>4</v>
      </c>
      <c r="L888" s="5">
        <v>25</v>
      </c>
      <c r="M888" s="5">
        <f>K888 * L888</f>
        <v>100</v>
      </c>
      <c r="N888" s="5">
        <f>M888 * $Q$4</f>
        <v>1.5</v>
      </c>
      <c r="O888" s="5">
        <f>M888* $Q$5</f>
        <v>2</v>
      </c>
    </row>
    <row r="889" spans="1:15">
      <c r="A889" s="2">
        <v>888</v>
      </c>
      <c r="B889" s="4">
        <f t="shared" si="39"/>
        <v>3</v>
      </c>
      <c r="C889" s="4">
        <f t="shared" si="40"/>
        <v>3</v>
      </c>
      <c r="D889" s="4">
        <f t="shared" si="41"/>
        <v>2023</v>
      </c>
      <c r="E889" s="3">
        <v>44988</v>
      </c>
      <c r="F889" s="4" t="s">
        <v>914</v>
      </c>
      <c r="G889" s="4" t="s">
        <v>19</v>
      </c>
      <c r="H889" s="4" t="str" cm="1">
        <f t="array" ref="H889">_xlfn.IFS(I889&lt;30, "Young Adult", I889&gt;=50, "Senior", I889&gt;=30, "Adult")</f>
        <v>Senior</v>
      </c>
      <c r="I889" s="4">
        <v>52</v>
      </c>
      <c r="J889" s="4" t="s">
        <v>24</v>
      </c>
      <c r="K889" s="4">
        <v>4</v>
      </c>
      <c r="L889" s="5">
        <v>25</v>
      </c>
      <c r="M889" s="5">
        <f>K889 * L889</f>
        <v>100</v>
      </c>
      <c r="N889" s="5">
        <f>M889 * $Q$4</f>
        <v>1.5</v>
      </c>
      <c r="O889" s="5">
        <f>M889* $Q$5</f>
        <v>2</v>
      </c>
    </row>
    <row r="890" spans="1:15">
      <c r="A890" s="2">
        <v>889</v>
      </c>
      <c r="B890" s="4">
        <f t="shared" si="39"/>
        <v>2</v>
      </c>
      <c r="C890" s="4">
        <f t="shared" si="40"/>
        <v>10</v>
      </c>
      <c r="D890" s="4">
        <f t="shared" si="41"/>
        <v>2023</v>
      </c>
      <c r="E890" s="3">
        <v>45201</v>
      </c>
      <c r="F890" s="4" t="s">
        <v>915</v>
      </c>
      <c r="G890" s="4" t="s">
        <v>19</v>
      </c>
      <c r="H890" s="4" t="str" cm="1">
        <f t="array" ref="H890">_xlfn.IFS(I890&lt;30, "Young Adult", I890&gt;=50, "Senior", I890&gt;=30, "Adult")</f>
        <v>Adult</v>
      </c>
      <c r="I890" s="4">
        <v>35</v>
      </c>
      <c r="J890" s="4" t="s">
        <v>24</v>
      </c>
      <c r="K890" s="4">
        <v>1</v>
      </c>
      <c r="L890" s="5">
        <v>50</v>
      </c>
      <c r="M890" s="5">
        <f>K890 * L890</f>
        <v>50</v>
      </c>
      <c r="N890" s="5">
        <f>M890 * $Q$4</f>
        <v>0.75</v>
      </c>
      <c r="O890" s="5">
        <f>M890* $Q$5</f>
        <v>1</v>
      </c>
    </row>
    <row r="891" spans="1:15">
      <c r="A891" s="2">
        <v>890</v>
      </c>
      <c r="B891" s="4">
        <f t="shared" si="39"/>
        <v>20</v>
      </c>
      <c r="C891" s="4">
        <f t="shared" si="40"/>
        <v>12</v>
      </c>
      <c r="D891" s="4">
        <f t="shared" si="41"/>
        <v>2023</v>
      </c>
      <c r="E891" s="3">
        <v>45280</v>
      </c>
      <c r="F891" s="4" t="s">
        <v>916</v>
      </c>
      <c r="G891" s="4" t="s">
        <v>16</v>
      </c>
      <c r="H891" s="4" t="str" cm="1">
        <f t="array" ref="H891">_xlfn.IFS(I891&lt;30, "Young Adult", I891&gt;=50, "Senior", I891&gt;=30, "Adult")</f>
        <v>Adult</v>
      </c>
      <c r="I891" s="4">
        <v>34</v>
      </c>
      <c r="J891" s="4" t="s">
        <v>24</v>
      </c>
      <c r="K891" s="4">
        <v>2</v>
      </c>
      <c r="L891" s="5">
        <v>25</v>
      </c>
      <c r="M891" s="5">
        <f>K891 * L891</f>
        <v>50</v>
      </c>
      <c r="N891" s="5">
        <f>M891 * $Q$4</f>
        <v>0.75</v>
      </c>
      <c r="O891" s="5">
        <f>M891* $Q$5</f>
        <v>1</v>
      </c>
    </row>
    <row r="892" spans="1:15">
      <c r="A892" s="2">
        <v>891</v>
      </c>
      <c r="B892" s="4">
        <f t="shared" si="39"/>
        <v>5</v>
      </c>
      <c r="C892" s="4">
        <f t="shared" si="40"/>
        <v>4</v>
      </c>
      <c r="D892" s="4">
        <f t="shared" si="41"/>
        <v>2023</v>
      </c>
      <c r="E892" s="3">
        <v>45021</v>
      </c>
      <c r="F892" s="4" t="s">
        <v>917</v>
      </c>
      <c r="G892" s="4" t="s">
        <v>16</v>
      </c>
      <c r="H892" s="4" t="str" cm="1">
        <f t="array" ref="H892">_xlfn.IFS(I892&lt;30, "Young Adult", I892&gt;=50, "Senior", I892&gt;=30, "Adult")</f>
        <v>Adult</v>
      </c>
      <c r="I892" s="4">
        <v>41</v>
      </c>
      <c r="J892" s="4" t="s">
        <v>24</v>
      </c>
      <c r="K892" s="4">
        <v>3</v>
      </c>
      <c r="L892" s="5">
        <v>300</v>
      </c>
      <c r="M892" s="5">
        <f>K892 * L892</f>
        <v>900</v>
      </c>
      <c r="N892" s="5">
        <f>M892 * $Q$4</f>
        <v>13.5</v>
      </c>
      <c r="O892" s="5">
        <f>M892* $Q$5</f>
        <v>18</v>
      </c>
    </row>
    <row r="893" spans="1:15">
      <c r="A893" s="2">
        <v>892</v>
      </c>
      <c r="B893" s="4">
        <f t="shared" si="39"/>
        <v>9</v>
      </c>
      <c r="C893" s="4">
        <f t="shared" si="40"/>
        <v>4</v>
      </c>
      <c r="D893" s="4">
        <f t="shared" si="41"/>
        <v>2023</v>
      </c>
      <c r="E893" s="3">
        <v>45025</v>
      </c>
      <c r="F893" s="4" t="s">
        <v>918</v>
      </c>
      <c r="G893" s="4" t="s">
        <v>16</v>
      </c>
      <c r="H893" s="4" t="str" cm="1">
        <f t="array" ref="H893">_xlfn.IFS(I893&lt;30, "Young Adult", I893&gt;=50, "Senior", I893&gt;=30, "Adult")</f>
        <v>Young Adult</v>
      </c>
      <c r="I893" s="4">
        <v>20</v>
      </c>
      <c r="J893" s="4" t="s">
        <v>24</v>
      </c>
      <c r="K893" s="4">
        <v>1</v>
      </c>
      <c r="L893" s="5">
        <v>50</v>
      </c>
      <c r="M893" s="5">
        <f>K893 * L893</f>
        <v>50</v>
      </c>
      <c r="N893" s="5">
        <f>M893 * $Q$4</f>
        <v>0.75</v>
      </c>
      <c r="O893" s="5">
        <f>M893* $Q$5</f>
        <v>1</v>
      </c>
    </row>
    <row r="894" spans="1:15">
      <c r="A894" s="2">
        <v>893</v>
      </c>
      <c r="B894" s="4">
        <f t="shared" si="39"/>
        <v>21</v>
      </c>
      <c r="C894" s="4">
        <f t="shared" si="40"/>
        <v>4</v>
      </c>
      <c r="D894" s="4">
        <f t="shared" si="41"/>
        <v>2023</v>
      </c>
      <c r="E894" s="3">
        <v>45037</v>
      </c>
      <c r="F894" s="4" t="s">
        <v>919</v>
      </c>
      <c r="G894" s="4" t="s">
        <v>16</v>
      </c>
      <c r="H894" s="4" t="str" cm="1">
        <f t="array" ref="H894">_xlfn.IFS(I894&lt;30, "Young Adult", I894&gt;=50, "Senior", I894&gt;=30, "Adult")</f>
        <v>Adult</v>
      </c>
      <c r="I894" s="4">
        <v>49</v>
      </c>
      <c r="J894" s="4" t="s">
        <v>24</v>
      </c>
      <c r="K894" s="4">
        <v>1</v>
      </c>
      <c r="L894" s="5">
        <v>50</v>
      </c>
      <c r="M894" s="5">
        <f>K894 * L894</f>
        <v>50</v>
      </c>
      <c r="N894" s="5">
        <f>M894 * $Q$4</f>
        <v>0.75</v>
      </c>
      <c r="O894" s="5">
        <f>M894* $Q$5</f>
        <v>1</v>
      </c>
    </row>
    <row r="895" spans="1:15">
      <c r="A895" s="2">
        <v>894</v>
      </c>
      <c r="B895" s="4">
        <f t="shared" si="39"/>
        <v>5</v>
      </c>
      <c r="C895" s="4">
        <f t="shared" si="40"/>
        <v>9</v>
      </c>
      <c r="D895" s="4">
        <f t="shared" si="41"/>
        <v>2023</v>
      </c>
      <c r="E895" s="3">
        <v>45174</v>
      </c>
      <c r="F895" s="4" t="s">
        <v>920</v>
      </c>
      <c r="G895" s="4" t="s">
        <v>16</v>
      </c>
      <c r="H895" s="4" t="str" cm="1">
        <f t="array" ref="H895">_xlfn.IFS(I895&lt;30, "Young Adult", I895&gt;=50, "Senior", I895&gt;=30, "Adult")</f>
        <v>Senior</v>
      </c>
      <c r="I895" s="4">
        <v>52</v>
      </c>
      <c r="J895" s="4" t="s">
        <v>24</v>
      </c>
      <c r="K895" s="4">
        <v>1</v>
      </c>
      <c r="L895" s="5">
        <v>30</v>
      </c>
      <c r="M895" s="5">
        <f>K895 * L895</f>
        <v>30</v>
      </c>
      <c r="N895" s="5">
        <f>M895 * $Q$4</f>
        <v>0.44999999999999996</v>
      </c>
      <c r="O895" s="5">
        <f>M895* $Q$5</f>
        <v>0.6</v>
      </c>
    </row>
    <row r="896" spans="1:15">
      <c r="A896" s="2">
        <v>895</v>
      </c>
      <c r="B896" s="4">
        <f t="shared" si="39"/>
        <v>22</v>
      </c>
      <c r="C896" s="4">
        <f t="shared" si="40"/>
        <v>5</v>
      </c>
      <c r="D896" s="4">
        <f t="shared" si="41"/>
        <v>2023</v>
      </c>
      <c r="E896" s="3">
        <v>45068</v>
      </c>
      <c r="F896" s="4" t="s">
        <v>921</v>
      </c>
      <c r="G896" s="4" t="s">
        <v>19</v>
      </c>
      <c r="H896" s="4" t="str" cm="1">
        <f t="array" ref="H896">_xlfn.IFS(I896&lt;30, "Young Adult", I896&gt;=50, "Senior", I896&gt;=30, "Adult")</f>
        <v>Senior</v>
      </c>
      <c r="I896" s="4">
        <v>55</v>
      </c>
      <c r="J896" s="4" t="s">
        <v>20</v>
      </c>
      <c r="K896" s="4">
        <v>4</v>
      </c>
      <c r="L896" s="5">
        <v>30</v>
      </c>
      <c r="M896" s="5">
        <f>K896 * L896</f>
        <v>120</v>
      </c>
      <c r="N896" s="5">
        <f>M896 * $Q$4</f>
        <v>1.7999999999999998</v>
      </c>
      <c r="O896" s="5">
        <f>M896* $Q$5</f>
        <v>2.4</v>
      </c>
    </row>
    <row r="897" spans="1:15">
      <c r="A897" s="2">
        <v>896</v>
      </c>
      <c r="B897" s="4">
        <f t="shared" si="39"/>
        <v>29</v>
      </c>
      <c r="C897" s="4">
        <f t="shared" si="40"/>
        <v>10</v>
      </c>
      <c r="D897" s="4">
        <f t="shared" si="41"/>
        <v>2023</v>
      </c>
      <c r="E897" s="3">
        <v>45228</v>
      </c>
      <c r="F897" s="4" t="s">
        <v>922</v>
      </c>
      <c r="G897" s="4" t="s">
        <v>19</v>
      </c>
      <c r="H897" s="4" t="str" cm="1">
        <f t="array" ref="H897">_xlfn.IFS(I897&lt;30, "Young Adult", I897&gt;=50, "Senior", I897&gt;=30, "Adult")</f>
        <v>Adult</v>
      </c>
      <c r="I897" s="4">
        <v>30</v>
      </c>
      <c r="J897" s="4" t="s">
        <v>24</v>
      </c>
      <c r="K897" s="4">
        <v>2</v>
      </c>
      <c r="L897" s="5">
        <v>25</v>
      </c>
      <c r="M897" s="5">
        <f>K897 * L897</f>
        <v>50</v>
      </c>
      <c r="N897" s="5">
        <f>M897 * $Q$4</f>
        <v>0.75</v>
      </c>
      <c r="O897" s="5">
        <f>M897* $Q$5</f>
        <v>1</v>
      </c>
    </row>
    <row r="898" spans="1:15">
      <c r="A898" s="2">
        <v>897</v>
      </c>
      <c r="B898" s="4">
        <f t="shared" si="39"/>
        <v>26</v>
      </c>
      <c r="C898" s="4">
        <f t="shared" si="40"/>
        <v>9</v>
      </c>
      <c r="D898" s="4">
        <f t="shared" si="41"/>
        <v>2023</v>
      </c>
      <c r="E898" s="3">
        <v>45195</v>
      </c>
      <c r="F898" s="4" t="s">
        <v>923</v>
      </c>
      <c r="G898" s="4" t="s">
        <v>19</v>
      </c>
      <c r="H898" s="4" t="str" cm="1">
        <f t="array" ref="H898">_xlfn.IFS(I898&lt;30, "Young Adult", I898&gt;=50, "Senior", I898&gt;=30, "Adult")</f>
        <v>Senior</v>
      </c>
      <c r="I898" s="4">
        <v>64</v>
      </c>
      <c r="J898" s="4" t="s">
        <v>24</v>
      </c>
      <c r="K898" s="4">
        <v>2</v>
      </c>
      <c r="L898" s="5">
        <v>50</v>
      </c>
      <c r="M898" s="5">
        <f>K898 * L898</f>
        <v>100</v>
      </c>
      <c r="N898" s="5">
        <f>M898 * $Q$4</f>
        <v>1.5</v>
      </c>
      <c r="O898" s="5">
        <f>M898* $Q$5</f>
        <v>2</v>
      </c>
    </row>
    <row r="899" spans="1:15">
      <c r="A899" s="2">
        <v>898</v>
      </c>
      <c r="B899" s="4">
        <f t="shared" ref="B899:B962" si="42">DAY(E899)</f>
        <v>2</v>
      </c>
      <c r="C899" s="4">
        <f t="shared" ref="C899:C962" si="43">MONTH(E899)</f>
        <v>11</v>
      </c>
      <c r="D899" s="4">
        <f t="shared" ref="D899:D962" si="44">YEAR(E899)</f>
        <v>2023</v>
      </c>
      <c r="E899" s="3">
        <v>45232</v>
      </c>
      <c r="F899" s="4" t="s">
        <v>924</v>
      </c>
      <c r="G899" s="4" t="s">
        <v>19</v>
      </c>
      <c r="H899" s="4" t="str" cm="1">
        <f t="array" ref="H899">_xlfn.IFS(I899&lt;30, "Young Adult", I899&gt;=50, "Senior", I899&gt;=30, "Adult")</f>
        <v>Adult</v>
      </c>
      <c r="I899" s="4">
        <v>42</v>
      </c>
      <c r="J899" s="4" t="s">
        <v>20</v>
      </c>
      <c r="K899" s="4">
        <v>3</v>
      </c>
      <c r="L899" s="5">
        <v>30</v>
      </c>
      <c r="M899" s="5">
        <f>K899 * L899</f>
        <v>90</v>
      </c>
      <c r="N899" s="5">
        <f>M899 * $Q$4</f>
        <v>1.3499999999999999</v>
      </c>
      <c r="O899" s="5">
        <f>M899* $Q$5</f>
        <v>1.8</v>
      </c>
    </row>
    <row r="900" spans="1:15">
      <c r="A900" s="2">
        <v>899</v>
      </c>
      <c r="B900" s="4">
        <f t="shared" si="42"/>
        <v>25</v>
      </c>
      <c r="C900" s="4">
        <f t="shared" si="43"/>
        <v>5</v>
      </c>
      <c r="D900" s="4">
        <f t="shared" si="44"/>
        <v>2023</v>
      </c>
      <c r="E900" s="3">
        <v>45071</v>
      </c>
      <c r="F900" s="4" t="s">
        <v>925</v>
      </c>
      <c r="G900" s="4" t="s">
        <v>16</v>
      </c>
      <c r="H900" s="4" t="str" cm="1">
        <f t="array" ref="H900">_xlfn.IFS(I900&lt;30, "Young Adult", I900&gt;=50, "Senior", I900&gt;=30, "Adult")</f>
        <v>Young Adult</v>
      </c>
      <c r="I900" s="4">
        <v>26</v>
      </c>
      <c r="J900" s="4" t="s">
        <v>20</v>
      </c>
      <c r="K900" s="4">
        <v>2</v>
      </c>
      <c r="L900" s="5">
        <v>300</v>
      </c>
      <c r="M900" s="5">
        <f>K900 * L900</f>
        <v>600</v>
      </c>
      <c r="N900" s="5">
        <f>M900 * $Q$4</f>
        <v>9</v>
      </c>
      <c r="O900" s="5">
        <f>M900* $Q$5</f>
        <v>12</v>
      </c>
    </row>
    <row r="901" spans="1:15">
      <c r="A901" s="2">
        <v>900</v>
      </c>
      <c r="B901" s="4">
        <f t="shared" si="42"/>
        <v>21</v>
      </c>
      <c r="C901" s="4">
        <f t="shared" si="43"/>
        <v>2</v>
      </c>
      <c r="D901" s="4">
        <f t="shared" si="44"/>
        <v>2023</v>
      </c>
      <c r="E901" s="3">
        <v>44978</v>
      </c>
      <c r="F901" s="4" t="s">
        <v>926</v>
      </c>
      <c r="G901" s="4" t="s">
        <v>16</v>
      </c>
      <c r="H901" s="4" t="str" cm="1">
        <f t="array" ref="H901">_xlfn.IFS(I901&lt;30, "Young Adult", I901&gt;=50, "Senior", I901&gt;=30, "Adult")</f>
        <v>Young Adult</v>
      </c>
      <c r="I901" s="4">
        <v>21</v>
      </c>
      <c r="J901" s="4" t="s">
        <v>20</v>
      </c>
      <c r="K901" s="4">
        <v>2</v>
      </c>
      <c r="L901" s="5">
        <v>30</v>
      </c>
      <c r="M901" s="5">
        <f>K901 * L901</f>
        <v>60</v>
      </c>
      <c r="N901" s="5">
        <f>M901 * $Q$4</f>
        <v>0.89999999999999991</v>
      </c>
      <c r="O901" s="5">
        <f>M901* $Q$5</f>
        <v>1.2</v>
      </c>
    </row>
    <row r="902" spans="1:15">
      <c r="A902" s="2">
        <v>901</v>
      </c>
      <c r="B902" s="4">
        <f t="shared" si="42"/>
        <v>10</v>
      </c>
      <c r="C902" s="4">
        <f t="shared" si="43"/>
        <v>4</v>
      </c>
      <c r="D902" s="4">
        <f t="shared" si="44"/>
        <v>2023</v>
      </c>
      <c r="E902" s="3">
        <v>45026</v>
      </c>
      <c r="F902" s="4" t="s">
        <v>927</v>
      </c>
      <c r="G902" s="4" t="s">
        <v>16</v>
      </c>
      <c r="H902" s="4" t="str" cm="1">
        <f t="array" ref="H902">_xlfn.IFS(I902&lt;30, "Young Adult", I902&gt;=50, "Senior", I902&gt;=30, "Adult")</f>
        <v>Adult</v>
      </c>
      <c r="I902" s="4">
        <v>31</v>
      </c>
      <c r="J902" s="4" t="s">
        <v>24</v>
      </c>
      <c r="K902" s="4">
        <v>1</v>
      </c>
      <c r="L902" s="5">
        <v>30</v>
      </c>
      <c r="M902" s="5">
        <f>K902 * L902</f>
        <v>30</v>
      </c>
      <c r="N902" s="5">
        <f>M902 * $Q$4</f>
        <v>0.44999999999999996</v>
      </c>
      <c r="O902" s="5">
        <f>M902* $Q$5</f>
        <v>0.6</v>
      </c>
    </row>
    <row r="903" spans="1:15">
      <c r="A903" s="2">
        <v>902</v>
      </c>
      <c r="B903" s="4">
        <f t="shared" si="42"/>
        <v>1</v>
      </c>
      <c r="C903" s="4">
        <f t="shared" si="43"/>
        <v>6</v>
      </c>
      <c r="D903" s="4">
        <f t="shared" si="44"/>
        <v>2023</v>
      </c>
      <c r="E903" s="3">
        <v>45078</v>
      </c>
      <c r="F903" s="4" t="s">
        <v>928</v>
      </c>
      <c r="G903" s="4" t="s">
        <v>19</v>
      </c>
      <c r="H903" s="4" t="str" cm="1">
        <f t="array" ref="H903">_xlfn.IFS(I903&lt;30, "Young Adult", I903&gt;=50, "Senior", I903&gt;=30, "Adult")</f>
        <v>Senior</v>
      </c>
      <c r="I903" s="4">
        <v>54</v>
      </c>
      <c r="J903" s="4" t="s">
        <v>17</v>
      </c>
      <c r="K903" s="4">
        <v>1</v>
      </c>
      <c r="L903" s="5">
        <v>50</v>
      </c>
      <c r="M903" s="5">
        <f>K903 * L903</f>
        <v>50</v>
      </c>
      <c r="N903" s="5">
        <f>M903 * $Q$4</f>
        <v>0.75</v>
      </c>
      <c r="O903" s="5">
        <f>M903* $Q$5</f>
        <v>1</v>
      </c>
    </row>
    <row r="904" spans="1:15">
      <c r="A904" s="2">
        <v>903</v>
      </c>
      <c r="B904" s="4">
        <f t="shared" si="42"/>
        <v>27</v>
      </c>
      <c r="C904" s="4">
        <f t="shared" si="43"/>
        <v>4</v>
      </c>
      <c r="D904" s="4">
        <f t="shared" si="44"/>
        <v>2023</v>
      </c>
      <c r="E904" s="3">
        <v>45043</v>
      </c>
      <c r="F904" s="4" t="s">
        <v>929</v>
      </c>
      <c r="G904" s="4" t="s">
        <v>19</v>
      </c>
      <c r="H904" s="4" t="str" cm="1">
        <f t="array" ref="H904">_xlfn.IFS(I904&lt;30, "Young Adult", I904&gt;=50, "Senior", I904&gt;=30, "Adult")</f>
        <v>Senior</v>
      </c>
      <c r="I904" s="4">
        <v>51</v>
      </c>
      <c r="J904" s="4" t="s">
        <v>17</v>
      </c>
      <c r="K904" s="4">
        <v>4</v>
      </c>
      <c r="L904" s="5">
        <v>50</v>
      </c>
      <c r="M904" s="5">
        <f>K904 * L904</f>
        <v>200</v>
      </c>
      <c r="N904" s="5">
        <f>M904 * $Q$4</f>
        <v>3</v>
      </c>
      <c r="O904" s="5">
        <f>M904* $Q$5</f>
        <v>4</v>
      </c>
    </row>
    <row r="905" spans="1:15">
      <c r="A905" s="2">
        <v>904</v>
      </c>
      <c r="B905" s="4">
        <f t="shared" si="42"/>
        <v>4</v>
      </c>
      <c r="C905" s="4">
        <f t="shared" si="43"/>
        <v>7</v>
      </c>
      <c r="D905" s="4">
        <f t="shared" si="44"/>
        <v>2023</v>
      </c>
      <c r="E905" s="3">
        <v>45111</v>
      </c>
      <c r="F905" s="4" t="s">
        <v>930</v>
      </c>
      <c r="G905" s="4" t="s">
        <v>16</v>
      </c>
      <c r="H905" s="4" t="str" cm="1">
        <f t="array" ref="H905">_xlfn.IFS(I905&lt;30, "Young Adult", I905&gt;=50, "Senior", I905&gt;=30, "Adult")</f>
        <v>Young Adult</v>
      </c>
      <c r="I905" s="4">
        <v>28</v>
      </c>
      <c r="J905" s="4" t="s">
        <v>20</v>
      </c>
      <c r="K905" s="4">
        <v>1</v>
      </c>
      <c r="L905" s="5">
        <v>500</v>
      </c>
      <c r="M905" s="5">
        <f>K905 * L905</f>
        <v>500</v>
      </c>
      <c r="N905" s="5">
        <f>M905 * $Q$4</f>
        <v>7.5</v>
      </c>
      <c r="O905" s="5">
        <f>M905* $Q$5</f>
        <v>10</v>
      </c>
    </row>
    <row r="906" spans="1:15">
      <c r="A906" s="2">
        <v>905</v>
      </c>
      <c r="B906" s="4">
        <f t="shared" si="42"/>
        <v>2</v>
      </c>
      <c r="C906" s="4">
        <f t="shared" si="43"/>
        <v>4</v>
      </c>
      <c r="D906" s="4">
        <f t="shared" si="44"/>
        <v>2023</v>
      </c>
      <c r="E906" s="3">
        <v>45018</v>
      </c>
      <c r="F906" s="4" t="s">
        <v>931</v>
      </c>
      <c r="G906" s="4" t="s">
        <v>16</v>
      </c>
      <c r="H906" s="4" t="str" cm="1">
        <f t="array" ref="H906">_xlfn.IFS(I906&lt;30, "Young Adult", I906&gt;=50, "Senior", I906&gt;=30, "Adult")</f>
        <v>Senior</v>
      </c>
      <c r="I906" s="4">
        <v>58</v>
      </c>
      <c r="J906" s="4" t="s">
        <v>17</v>
      </c>
      <c r="K906" s="4">
        <v>1</v>
      </c>
      <c r="L906" s="5">
        <v>300</v>
      </c>
      <c r="M906" s="5">
        <f>K906 * L906</f>
        <v>300</v>
      </c>
      <c r="N906" s="5">
        <f>M906 * $Q$4</f>
        <v>4.5</v>
      </c>
      <c r="O906" s="5">
        <f>M906* $Q$5</f>
        <v>6</v>
      </c>
    </row>
    <row r="907" spans="1:15">
      <c r="A907" s="2">
        <v>906</v>
      </c>
      <c r="B907" s="4">
        <f t="shared" si="42"/>
        <v>4</v>
      </c>
      <c r="C907" s="4">
        <f t="shared" si="43"/>
        <v>6</v>
      </c>
      <c r="D907" s="4">
        <f t="shared" si="44"/>
        <v>2023</v>
      </c>
      <c r="E907" s="3">
        <v>45081</v>
      </c>
      <c r="F907" s="4" t="s">
        <v>932</v>
      </c>
      <c r="G907" s="4" t="s">
        <v>19</v>
      </c>
      <c r="H907" s="4" t="str" cm="1">
        <f t="array" ref="H907">_xlfn.IFS(I907&lt;30, "Young Adult", I907&gt;=50, "Senior", I907&gt;=30, "Adult")</f>
        <v>Young Adult</v>
      </c>
      <c r="I907" s="4">
        <v>20</v>
      </c>
      <c r="J907" s="4" t="s">
        <v>20</v>
      </c>
      <c r="K907" s="4">
        <v>1</v>
      </c>
      <c r="L907" s="5">
        <v>50</v>
      </c>
      <c r="M907" s="5">
        <f>K907 * L907</f>
        <v>50</v>
      </c>
      <c r="N907" s="5">
        <f>M907 * $Q$4</f>
        <v>0.75</v>
      </c>
      <c r="O907" s="5">
        <f>M907* $Q$5</f>
        <v>1</v>
      </c>
    </row>
    <row r="908" spans="1:15">
      <c r="A908" s="2">
        <v>907</v>
      </c>
      <c r="B908" s="4">
        <f t="shared" si="42"/>
        <v>8</v>
      </c>
      <c r="C908" s="4">
        <f t="shared" si="43"/>
        <v>1</v>
      </c>
      <c r="D908" s="4">
        <f t="shared" si="44"/>
        <v>2023</v>
      </c>
      <c r="E908" s="3">
        <v>44934</v>
      </c>
      <c r="F908" s="4" t="s">
        <v>933</v>
      </c>
      <c r="G908" s="4" t="s">
        <v>19</v>
      </c>
      <c r="H908" s="4" t="str" cm="1">
        <f t="array" ref="H908">_xlfn.IFS(I908&lt;30, "Young Adult", I908&gt;=50, "Senior", I908&gt;=30, "Adult")</f>
        <v>Adult</v>
      </c>
      <c r="I908" s="4">
        <v>45</v>
      </c>
      <c r="J908" s="4" t="s">
        <v>24</v>
      </c>
      <c r="K908" s="4">
        <v>1</v>
      </c>
      <c r="L908" s="5">
        <v>25</v>
      </c>
      <c r="M908" s="5">
        <f>K908 * L908</f>
        <v>25</v>
      </c>
      <c r="N908" s="5">
        <f>M908 * $Q$4</f>
        <v>0.375</v>
      </c>
      <c r="O908" s="5">
        <f>M908* $Q$5</f>
        <v>0.5</v>
      </c>
    </row>
    <row r="909" spans="1:15">
      <c r="A909" s="2">
        <v>908</v>
      </c>
      <c r="B909" s="4">
        <f t="shared" si="42"/>
        <v>29</v>
      </c>
      <c r="C909" s="4">
        <f t="shared" si="43"/>
        <v>12</v>
      </c>
      <c r="D909" s="4">
        <f t="shared" si="44"/>
        <v>2023</v>
      </c>
      <c r="E909" s="3">
        <v>45289</v>
      </c>
      <c r="F909" s="4" t="s">
        <v>934</v>
      </c>
      <c r="G909" s="4" t="s">
        <v>16</v>
      </c>
      <c r="H909" s="4" t="str" cm="1">
        <f t="array" ref="H909">_xlfn.IFS(I909&lt;30, "Young Adult", I909&gt;=50, "Senior", I909&gt;=30, "Adult")</f>
        <v>Adult</v>
      </c>
      <c r="I909" s="4">
        <v>46</v>
      </c>
      <c r="J909" s="4" t="s">
        <v>17</v>
      </c>
      <c r="K909" s="4">
        <v>4</v>
      </c>
      <c r="L909" s="5">
        <v>300</v>
      </c>
      <c r="M909" s="5">
        <f>K909 * L909</f>
        <v>1200</v>
      </c>
      <c r="N909" s="5">
        <f>M909 * $Q$4</f>
        <v>18</v>
      </c>
      <c r="O909" s="5">
        <f>M909* $Q$5</f>
        <v>24</v>
      </c>
    </row>
    <row r="910" spans="1:15">
      <c r="A910" s="2">
        <v>909</v>
      </c>
      <c r="B910" s="4">
        <f t="shared" si="42"/>
        <v>1</v>
      </c>
      <c r="C910" s="4">
        <f t="shared" si="43"/>
        <v>10</v>
      </c>
      <c r="D910" s="4">
        <f t="shared" si="44"/>
        <v>2023</v>
      </c>
      <c r="E910" s="3">
        <v>45200</v>
      </c>
      <c r="F910" s="4" t="s">
        <v>935</v>
      </c>
      <c r="G910" s="4" t="s">
        <v>16</v>
      </c>
      <c r="H910" s="4" t="str" cm="1">
        <f t="array" ref="H910">_xlfn.IFS(I910&lt;30, "Young Adult", I910&gt;=50, "Senior", I910&gt;=30, "Adult")</f>
        <v>Young Adult</v>
      </c>
      <c r="I910" s="4">
        <v>26</v>
      </c>
      <c r="J910" s="4" t="s">
        <v>24</v>
      </c>
      <c r="K910" s="4">
        <v>1</v>
      </c>
      <c r="L910" s="5">
        <v>300</v>
      </c>
      <c r="M910" s="5">
        <f>K910 * L910</f>
        <v>300</v>
      </c>
      <c r="N910" s="5">
        <f>M910 * $Q$4</f>
        <v>4.5</v>
      </c>
      <c r="O910" s="5">
        <f>M910* $Q$5</f>
        <v>6</v>
      </c>
    </row>
    <row r="911" spans="1:15">
      <c r="A911" s="2">
        <v>910</v>
      </c>
      <c r="B911" s="4">
        <f t="shared" si="42"/>
        <v>6</v>
      </c>
      <c r="C911" s="4">
        <f t="shared" si="43"/>
        <v>3</v>
      </c>
      <c r="D911" s="4">
        <f t="shared" si="44"/>
        <v>2023</v>
      </c>
      <c r="E911" s="3">
        <v>44991</v>
      </c>
      <c r="F911" s="4" t="s">
        <v>936</v>
      </c>
      <c r="G911" s="4" t="s">
        <v>19</v>
      </c>
      <c r="H911" s="4" t="str" cm="1">
        <f t="array" ref="H911">_xlfn.IFS(I911&lt;30, "Young Adult", I911&gt;=50, "Senior", I911&gt;=30, "Adult")</f>
        <v>Young Adult</v>
      </c>
      <c r="I911" s="4">
        <v>20</v>
      </c>
      <c r="J911" s="4" t="s">
        <v>17</v>
      </c>
      <c r="K911" s="4">
        <v>3</v>
      </c>
      <c r="L911" s="5">
        <v>50</v>
      </c>
      <c r="M911" s="5">
        <f>K911 * L911</f>
        <v>150</v>
      </c>
      <c r="N911" s="5">
        <f>M911 * $Q$4</f>
        <v>2.25</v>
      </c>
      <c r="O911" s="5">
        <f>M911* $Q$5</f>
        <v>3</v>
      </c>
    </row>
    <row r="912" spans="1:15">
      <c r="A912" s="2">
        <v>911</v>
      </c>
      <c r="B912" s="4">
        <f t="shared" si="42"/>
        <v>21</v>
      </c>
      <c r="C912" s="4">
        <f t="shared" si="43"/>
        <v>5</v>
      </c>
      <c r="D912" s="4">
        <f t="shared" si="44"/>
        <v>2023</v>
      </c>
      <c r="E912" s="3">
        <v>45067</v>
      </c>
      <c r="F912" s="4" t="s">
        <v>937</v>
      </c>
      <c r="G912" s="4" t="s">
        <v>16</v>
      </c>
      <c r="H912" s="4" t="str" cm="1">
        <f t="array" ref="H912">_xlfn.IFS(I912&lt;30, "Young Adult", I912&gt;=50, "Senior", I912&gt;=30, "Adult")</f>
        <v>Adult</v>
      </c>
      <c r="I912" s="4">
        <v>42</v>
      </c>
      <c r="J912" s="4" t="s">
        <v>24</v>
      </c>
      <c r="K912" s="4">
        <v>3</v>
      </c>
      <c r="L912" s="5">
        <v>300</v>
      </c>
      <c r="M912" s="5">
        <f>K912 * L912</f>
        <v>900</v>
      </c>
      <c r="N912" s="5">
        <f>M912 * $Q$4</f>
        <v>13.5</v>
      </c>
      <c r="O912" s="5">
        <f>M912* $Q$5</f>
        <v>18</v>
      </c>
    </row>
    <row r="913" spans="1:15">
      <c r="A913" s="2">
        <v>912</v>
      </c>
      <c r="B913" s="4">
        <f t="shared" si="42"/>
        <v>24</v>
      </c>
      <c r="C913" s="4">
        <f t="shared" si="43"/>
        <v>1</v>
      </c>
      <c r="D913" s="4">
        <f t="shared" si="44"/>
        <v>2023</v>
      </c>
      <c r="E913" s="3">
        <v>44950</v>
      </c>
      <c r="F913" s="4" t="s">
        <v>938</v>
      </c>
      <c r="G913" s="4" t="s">
        <v>16</v>
      </c>
      <c r="H913" s="4" t="str" cm="1">
        <f t="array" ref="H913">_xlfn.IFS(I913&lt;30, "Young Adult", I913&gt;=50, "Senior", I913&gt;=30, "Adult")</f>
        <v>Senior</v>
      </c>
      <c r="I913" s="4">
        <v>51</v>
      </c>
      <c r="J913" s="4" t="s">
        <v>17</v>
      </c>
      <c r="K913" s="4">
        <v>3</v>
      </c>
      <c r="L913" s="5">
        <v>50</v>
      </c>
      <c r="M913" s="5">
        <f>K913 * L913</f>
        <v>150</v>
      </c>
      <c r="N913" s="5">
        <f>M913 * $Q$4</f>
        <v>2.25</v>
      </c>
      <c r="O913" s="5">
        <f>M913* $Q$5</f>
        <v>3</v>
      </c>
    </row>
    <row r="914" spans="1:15">
      <c r="A914" s="2">
        <v>913</v>
      </c>
      <c r="B914" s="4">
        <f t="shared" si="42"/>
        <v>28</v>
      </c>
      <c r="C914" s="4">
        <f t="shared" si="43"/>
        <v>1</v>
      </c>
      <c r="D914" s="4">
        <f t="shared" si="44"/>
        <v>2023</v>
      </c>
      <c r="E914" s="3">
        <v>44954</v>
      </c>
      <c r="F914" s="4" t="s">
        <v>939</v>
      </c>
      <c r="G914" s="4" t="s">
        <v>16</v>
      </c>
      <c r="H914" s="4" t="str" cm="1">
        <f t="array" ref="H914">_xlfn.IFS(I914&lt;30, "Young Adult", I914&gt;=50, "Senior", I914&gt;=30, "Adult")</f>
        <v>Young Adult</v>
      </c>
      <c r="I914" s="4">
        <v>29</v>
      </c>
      <c r="J914" s="4" t="s">
        <v>24</v>
      </c>
      <c r="K914" s="4">
        <v>3</v>
      </c>
      <c r="L914" s="5">
        <v>30</v>
      </c>
      <c r="M914" s="5">
        <f>K914 * L914</f>
        <v>90</v>
      </c>
      <c r="N914" s="5">
        <f>M914 * $Q$4</f>
        <v>1.3499999999999999</v>
      </c>
      <c r="O914" s="5">
        <f>M914* $Q$5</f>
        <v>1.8</v>
      </c>
    </row>
    <row r="915" spans="1:15">
      <c r="A915" s="2">
        <v>914</v>
      </c>
      <c r="B915" s="4">
        <f t="shared" si="42"/>
        <v>11</v>
      </c>
      <c r="C915" s="4">
        <f t="shared" si="43"/>
        <v>10</v>
      </c>
      <c r="D915" s="4">
        <f t="shared" si="44"/>
        <v>2023</v>
      </c>
      <c r="E915" s="3">
        <v>45210</v>
      </c>
      <c r="F915" s="4" t="s">
        <v>940</v>
      </c>
      <c r="G915" s="4" t="s">
        <v>19</v>
      </c>
      <c r="H915" s="4" t="str" cm="1">
        <f t="array" ref="H915">_xlfn.IFS(I915&lt;30, "Young Adult", I915&gt;=50, "Senior", I915&gt;=30, "Adult")</f>
        <v>Senior</v>
      </c>
      <c r="I915" s="4">
        <v>59</v>
      </c>
      <c r="J915" s="4" t="s">
        <v>24</v>
      </c>
      <c r="K915" s="4">
        <v>1</v>
      </c>
      <c r="L915" s="5">
        <v>500</v>
      </c>
      <c r="M915" s="5">
        <f>K915 * L915</f>
        <v>500</v>
      </c>
      <c r="N915" s="5">
        <f>M915 * $Q$4</f>
        <v>7.5</v>
      </c>
      <c r="O915" s="5">
        <f>M915* $Q$5</f>
        <v>10</v>
      </c>
    </row>
    <row r="916" spans="1:15">
      <c r="A916" s="2">
        <v>915</v>
      </c>
      <c r="B916" s="4">
        <f t="shared" si="42"/>
        <v>30</v>
      </c>
      <c r="C916" s="4">
        <f t="shared" si="43"/>
        <v>5</v>
      </c>
      <c r="D916" s="4">
        <f t="shared" si="44"/>
        <v>2023</v>
      </c>
      <c r="E916" s="3">
        <v>45076</v>
      </c>
      <c r="F916" s="4" t="s">
        <v>941</v>
      </c>
      <c r="G916" s="4" t="s">
        <v>19</v>
      </c>
      <c r="H916" s="4" t="str" cm="1">
        <f t="array" ref="H916">_xlfn.IFS(I916&lt;30, "Young Adult", I916&gt;=50, "Senior", I916&gt;=30, "Adult")</f>
        <v>Young Adult</v>
      </c>
      <c r="I916" s="4">
        <v>26</v>
      </c>
      <c r="J916" s="4" t="s">
        <v>17</v>
      </c>
      <c r="K916" s="4">
        <v>3</v>
      </c>
      <c r="L916" s="5">
        <v>30</v>
      </c>
      <c r="M916" s="5">
        <f>K916 * L916</f>
        <v>90</v>
      </c>
      <c r="N916" s="5">
        <f>M916 * $Q$4</f>
        <v>1.3499999999999999</v>
      </c>
      <c r="O916" s="5">
        <f>M916* $Q$5</f>
        <v>1.8</v>
      </c>
    </row>
    <row r="917" spans="1:15">
      <c r="A917" s="2">
        <v>916</v>
      </c>
      <c r="B917" s="4">
        <f t="shared" si="42"/>
        <v>24</v>
      </c>
      <c r="C917" s="4">
        <f t="shared" si="43"/>
        <v>12</v>
      </c>
      <c r="D917" s="4">
        <f t="shared" si="44"/>
        <v>2023</v>
      </c>
      <c r="E917" s="3">
        <v>45284</v>
      </c>
      <c r="F917" s="4" t="s">
        <v>942</v>
      </c>
      <c r="G917" s="4" t="s">
        <v>19</v>
      </c>
      <c r="H917" s="4" t="str" cm="1">
        <f t="array" ref="H917">_xlfn.IFS(I917&lt;30, "Young Adult", I917&gt;=50, "Senior", I917&gt;=30, "Adult")</f>
        <v>Adult</v>
      </c>
      <c r="I917" s="4">
        <v>32</v>
      </c>
      <c r="J917" s="4" t="s">
        <v>24</v>
      </c>
      <c r="K917" s="4">
        <v>1</v>
      </c>
      <c r="L917" s="5">
        <v>50</v>
      </c>
      <c r="M917" s="5">
        <f>K917 * L917</f>
        <v>50</v>
      </c>
      <c r="N917" s="5">
        <f>M917 * $Q$4</f>
        <v>0.75</v>
      </c>
      <c r="O917" s="5">
        <f>M917* $Q$5</f>
        <v>1</v>
      </c>
    </row>
    <row r="918" spans="1:15">
      <c r="A918" s="2">
        <v>917</v>
      </c>
      <c r="B918" s="4">
        <f t="shared" si="42"/>
        <v>6</v>
      </c>
      <c r="C918" s="4">
        <f t="shared" si="43"/>
        <v>3</v>
      </c>
      <c r="D918" s="4">
        <f t="shared" si="44"/>
        <v>2023</v>
      </c>
      <c r="E918" s="3">
        <v>44991</v>
      </c>
      <c r="F918" s="4" t="s">
        <v>943</v>
      </c>
      <c r="G918" s="4" t="s">
        <v>19</v>
      </c>
      <c r="H918" s="4" t="str" cm="1">
        <f t="array" ref="H918">_xlfn.IFS(I918&lt;30, "Young Adult", I918&gt;=50, "Senior", I918&gt;=30, "Adult")</f>
        <v>Senior</v>
      </c>
      <c r="I918" s="4">
        <v>57</v>
      </c>
      <c r="J918" s="4" t="s">
        <v>24</v>
      </c>
      <c r="K918" s="4">
        <v>4</v>
      </c>
      <c r="L918" s="5">
        <v>50</v>
      </c>
      <c r="M918" s="5">
        <f>K918 * L918</f>
        <v>200</v>
      </c>
      <c r="N918" s="5">
        <f>M918 * $Q$4</f>
        <v>3</v>
      </c>
      <c r="O918" s="5">
        <f>M918* $Q$5</f>
        <v>4</v>
      </c>
    </row>
    <row r="919" spans="1:15">
      <c r="A919" s="2">
        <v>918</v>
      </c>
      <c r="B919" s="4">
        <f t="shared" si="42"/>
        <v>23</v>
      </c>
      <c r="C919" s="4">
        <f t="shared" si="43"/>
        <v>11</v>
      </c>
      <c r="D919" s="4">
        <f t="shared" si="44"/>
        <v>2023</v>
      </c>
      <c r="E919" s="3">
        <v>45253</v>
      </c>
      <c r="F919" s="4" t="s">
        <v>944</v>
      </c>
      <c r="G919" s="4" t="s">
        <v>19</v>
      </c>
      <c r="H919" s="4" t="str" cm="1">
        <f t="array" ref="H919">_xlfn.IFS(I919&lt;30, "Young Adult", I919&gt;=50, "Senior", I919&gt;=30, "Adult")</f>
        <v>Adult</v>
      </c>
      <c r="I919" s="4">
        <v>42</v>
      </c>
      <c r="J919" s="4" t="s">
        <v>24</v>
      </c>
      <c r="K919" s="4">
        <v>3</v>
      </c>
      <c r="L919" s="5">
        <v>30</v>
      </c>
      <c r="M919" s="5">
        <f>K919 * L919</f>
        <v>90</v>
      </c>
      <c r="N919" s="5">
        <f>M919 * $Q$4</f>
        <v>1.3499999999999999</v>
      </c>
      <c r="O919" s="5">
        <f>M919* $Q$5</f>
        <v>1.8</v>
      </c>
    </row>
    <row r="920" spans="1:15">
      <c r="A920" s="2">
        <v>919</v>
      </c>
      <c r="B920" s="4">
        <f t="shared" si="42"/>
        <v>9</v>
      </c>
      <c r="C920" s="4">
        <f t="shared" si="43"/>
        <v>9</v>
      </c>
      <c r="D920" s="4">
        <f t="shared" si="44"/>
        <v>2023</v>
      </c>
      <c r="E920" s="3">
        <v>45178</v>
      </c>
      <c r="F920" s="4" t="s">
        <v>945</v>
      </c>
      <c r="G920" s="4" t="s">
        <v>19</v>
      </c>
      <c r="H920" s="4" t="str" cm="1">
        <f t="array" ref="H920">_xlfn.IFS(I920&lt;30, "Young Adult", I920&gt;=50, "Senior", I920&gt;=30, "Adult")</f>
        <v>Young Adult</v>
      </c>
      <c r="I920" s="4">
        <v>22</v>
      </c>
      <c r="J920" s="4" t="s">
        <v>17</v>
      </c>
      <c r="K920" s="4">
        <v>2</v>
      </c>
      <c r="L920" s="5">
        <v>25</v>
      </c>
      <c r="M920" s="5">
        <f>K920 * L920</f>
        <v>50</v>
      </c>
      <c r="N920" s="5">
        <f>M920 * $Q$4</f>
        <v>0.75</v>
      </c>
      <c r="O920" s="5">
        <f>M920* $Q$5</f>
        <v>1</v>
      </c>
    </row>
    <row r="921" spans="1:15">
      <c r="A921" s="2">
        <v>920</v>
      </c>
      <c r="B921" s="4">
        <f t="shared" si="42"/>
        <v>22</v>
      </c>
      <c r="C921" s="4">
        <f t="shared" si="43"/>
        <v>2</v>
      </c>
      <c r="D921" s="4">
        <f t="shared" si="44"/>
        <v>2023</v>
      </c>
      <c r="E921" s="3">
        <v>44979</v>
      </c>
      <c r="F921" s="4" t="s">
        <v>946</v>
      </c>
      <c r="G921" s="4" t="s">
        <v>19</v>
      </c>
      <c r="H921" s="4" t="str" cm="1">
        <f t="array" ref="H921">_xlfn.IFS(I921&lt;30, "Young Adult", I921&gt;=50, "Senior", I921&gt;=30, "Adult")</f>
        <v>Young Adult</v>
      </c>
      <c r="I921" s="4">
        <v>28</v>
      </c>
      <c r="J921" s="4" t="s">
        <v>17</v>
      </c>
      <c r="K921" s="4">
        <v>3</v>
      </c>
      <c r="L921" s="5">
        <v>25</v>
      </c>
      <c r="M921" s="5">
        <f>K921 * L921</f>
        <v>75</v>
      </c>
      <c r="N921" s="5">
        <f>M921 * $Q$4</f>
        <v>1.125</v>
      </c>
      <c r="O921" s="5">
        <f>M921* $Q$5</f>
        <v>1.5</v>
      </c>
    </row>
    <row r="922" spans="1:15">
      <c r="A922" s="2">
        <v>921</v>
      </c>
      <c r="B922" s="4">
        <f t="shared" si="42"/>
        <v>7</v>
      </c>
      <c r="C922" s="4">
        <f t="shared" si="43"/>
        <v>1</v>
      </c>
      <c r="D922" s="4">
        <f t="shared" si="44"/>
        <v>2023</v>
      </c>
      <c r="E922" s="3">
        <v>44933</v>
      </c>
      <c r="F922" s="4" t="s">
        <v>947</v>
      </c>
      <c r="G922" s="4" t="s">
        <v>16</v>
      </c>
      <c r="H922" s="4" t="str" cm="1">
        <f t="array" ref="H922">_xlfn.IFS(I922&lt;30, "Young Adult", I922&gt;=50, "Senior", I922&gt;=30, "Adult")</f>
        <v>Senior</v>
      </c>
      <c r="I922" s="4">
        <v>51</v>
      </c>
      <c r="J922" s="4" t="s">
        <v>24</v>
      </c>
      <c r="K922" s="4">
        <v>3</v>
      </c>
      <c r="L922" s="5">
        <v>25</v>
      </c>
      <c r="M922" s="5">
        <f>K922 * L922</f>
        <v>75</v>
      </c>
      <c r="N922" s="5">
        <f>M922 * $Q$4</f>
        <v>1.125</v>
      </c>
      <c r="O922" s="5">
        <f>M922* $Q$5</f>
        <v>1.5</v>
      </c>
    </row>
    <row r="923" spans="1:15">
      <c r="A923" s="2">
        <v>922</v>
      </c>
      <c r="B923" s="4">
        <f t="shared" si="42"/>
        <v>21</v>
      </c>
      <c r="C923" s="4">
        <f t="shared" si="43"/>
        <v>10</v>
      </c>
      <c r="D923" s="4">
        <f t="shared" si="44"/>
        <v>2023</v>
      </c>
      <c r="E923" s="3">
        <v>45220</v>
      </c>
      <c r="F923" s="4" t="s">
        <v>948</v>
      </c>
      <c r="G923" s="4" t="s">
        <v>16</v>
      </c>
      <c r="H923" s="4" t="str" cm="1">
        <f t="array" ref="H923">_xlfn.IFS(I923&lt;30, "Young Adult", I923&gt;=50, "Senior", I923&gt;=30, "Adult")</f>
        <v>Adult</v>
      </c>
      <c r="I923" s="4">
        <v>41</v>
      </c>
      <c r="J923" s="4" t="s">
        <v>24</v>
      </c>
      <c r="K923" s="4">
        <v>1</v>
      </c>
      <c r="L923" s="5">
        <v>50</v>
      </c>
      <c r="M923" s="5">
        <f>K923 * L923</f>
        <v>50</v>
      </c>
      <c r="N923" s="5">
        <f>M923 * $Q$4</f>
        <v>0.75</v>
      </c>
      <c r="O923" s="5">
        <f>M923* $Q$5</f>
        <v>1</v>
      </c>
    </row>
    <row r="924" spans="1:15">
      <c r="A924" s="2">
        <v>923</v>
      </c>
      <c r="B924" s="4">
        <f t="shared" si="42"/>
        <v>26</v>
      </c>
      <c r="C924" s="4">
        <f t="shared" si="43"/>
        <v>5</v>
      </c>
      <c r="D924" s="4">
        <f t="shared" si="44"/>
        <v>2023</v>
      </c>
      <c r="E924" s="3">
        <v>45072</v>
      </c>
      <c r="F924" s="4" t="s">
        <v>949</v>
      </c>
      <c r="G924" s="4" t="s">
        <v>16</v>
      </c>
      <c r="H924" s="4" t="str" cm="1">
        <f t="array" ref="H924">_xlfn.IFS(I924&lt;30, "Young Adult", I924&gt;=50, "Senior", I924&gt;=30, "Adult")</f>
        <v>Adult</v>
      </c>
      <c r="I924" s="4">
        <v>32</v>
      </c>
      <c r="J924" s="4" t="s">
        <v>17</v>
      </c>
      <c r="K924" s="4">
        <v>3</v>
      </c>
      <c r="L924" s="5">
        <v>300</v>
      </c>
      <c r="M924" s="5">
        <f>K924 * L924</f>
        <v>900</v>
      </c>
      <c r="N924" s="5">
        <f>M924 * $Q$4</f>
        <v>13.5</v>
      </c>
      <c r="O924" s="5">
        <f>M924* $Q$5</f>
        <v>18</v>
      </c>
    </row>
    <row r="925" spans="1:15">
      <c r="A925" s="2">
        <v>924</v>
      </c>
      <c r="B925" s="4">
        <f t="shared" si="42"/>
        <v>29</v>
      </c>
      <c r="C925" s="4">
        <f t="shared" si="43"/>
        <v>8</v>
      </c>
      <c r="D925" s="4">
        <f t="shared" si="44"/>
        <v>2023</v>
      </c>
      <c r="E925" s="3">
        <v>45167</v>
      </c>
      <c r="F925" s="4" t="s">
        <v>950</v>
      </c>
      <c r="G925" s="4" t="s">
        <v>16</v>
      </c>
      <c r="H925" s="4" t="str" cm="1">
        <f t="array" ref="H925">_xlfn.IFS(I925&lt;30, "Young Adult", I925&gt;=50, "Senior", I925&gt;=30, "Adult")</f>
        <v>Senior</v>
      </c>
      <c r="I925" s="4">
        <v>55</v>
      </c>
      <c r="J925" s="4" t="s">
        <v>17</v>
      </c>
      <c r="K925" s="4">
        <v>2</v>
      </c>
      <c r="L925" s="5">
        <v>50</v>
      </c>
      <c r="M925" s="5">
        <f>K925 * L925</f>
        <v>100</v>
      </c>
      <c r="N925" s="5">
        <f>M925 * $Q$4</f>
        <v>1.5</v>
      </c>
      <c r="O925" s="5">
        <f>M925* $Q$5</f>
        <v>2</v>
      </c>
    </row>
    <row r="926" spans="1:15">
      <c r="A926" s="2">
        <v>925</v>
      </c>
      <c r="B926" s="4">
        <f t="shared" si="42"/>
        <v>3</v>
      </c>
      <c r="C926" s="4">
        <f t="shared" si="43"/>
        <v>9</v>
      </c>
      <c r="D926" s="4">
        <f t="shared" si="44"/>
        <v>2023</v>
      </c>
      <c r="E926" s="3">
        <v>45172</v>
      </c>
      <c r="F926" s="4" t="s">
        <v>951</v>
      </c>
      <c r="G926" s="4" t="s">
        <v>16</v>
      </c>
      <c r="H926" s="4" t="str" cm="1">
        <f t="array" ref="H926">_xlfn.IFS(I926&lt;30, "Young Adult", I926&gt;=50, "Senior", I926&gt;=30, "Adult")</f>
        <v>Young Adult</v>
      </c>
      <c r="I926" s="4">
        <v>25</v>
      </c>
      <c r="J926" s="4" t="s">
        <v>24</v>
      </c>
      <c r="K926" s="4">
        <v>1</v>
      </c>
      <c r="L926" s="5">
        <v>300</v>
      </c>
      <c r="M926" s="5">
        <f>K926 * L926</f>
        <v>300</v>
      </c>
      <c r="N926" s="5">
        <f>M926 * $Q$4</f>
        <v>4.5</v>
      </c>
      <c r="O926" s="5">
        <f>M926* $Q$5</f>
        <v>6</v>
      </c>
    </row>
    <row r="927" spans="1:15">
      <c r="A927" s="2">
        <v>926</v>
      </c>
      <c r="B927" s="4">
        <f t="shared" si="42"/>
        <v>14</v>
      </c>
      <c r="C927" s="4">
        <f t="shared" si="43"/>
        <v>8</v>
      </c>
      <c r="D927" s="4">
        <f t="shared" si="44"/>
        <v>2023</v>
      </c>
      <c r="E927" s="3">
        <v>45152</v>
      </c>
      <c r="F927" s="4" t="s">
        <v>952</v>
      </c>
      <c r="G927" s="4" t="s">
        <v>16</v>
      </c>
      <c r="H927" s="4" t="str" cm="1">
        <f t="array" ref="H927">_xlfn.IFS(I927&lt;30, "Young Adult", I927&gt;=50, "Senior", I927&gt;=30, "Adult")</f>
        <v>Young Adult</v>
      </c>
      <c r="I927" s="4">
        <v>22</v>
      </c>
      <c r="J927" s="4" t="s">
        <v>24</v>
      </c>
      <c r="K927" s="4">
        <v>1</v>
      </c>
      <c r="L927" s="5">
        <v>30</v>
      </c>
      <c r="M927" s="5">
        <f>K927 * L927</f>
        <v>30</v>
      </c>
      <c r="N927" s="5">
        <f>M927 * $Q$4</f>
        <v>0.44999999999999996</v>
      </c>
      <c r="O927" s="5">
        <f>M927* $Q$5</f>
        <v>0.6</v>
      </c>
    </row>
    <row r="928" spans="1:15">
      <c r="A928" s="2">
        <v>927</v>
      </c>
      <c r="B928" s="4">
        <f t="shared" si="42"/>
        <v>24</v>
      </c>
      <c r="C928" s="4">
        <f t="shared" si="43"/>
        <v>6</v>
      </c>
      <c r="D928" s="4">
        <f t="shared" si="44"/>
        <v>2023</v>
      </c>
      <c r="E928" s="3">
        <v>45101</v>
      </c>
      <c r="F928" s="4" t="s">
        <v>953</v>
      </c>
      <c r="G928" s="4" t="s">
        <v>16</v>
      </c>
      <c r="H928" s="4" t="str" cm="1">
        <f t="array" ref="H928">_xlfn.IFS(I928&lt;30, "Young Adult", I928&gt;=50, "Senior", I928&gt;=30, "Adult")</f>
        <v>Adult</v>
      </c>
      <c r="I928" s="4">
        <v>43</v>
      </c>
      <c r="J928" s="4" t="s">
        <v>24</v>
      </c>
      <c r="K928" s="4">
        <v>4</v>
      </c>
      <c r="L928" s="5">
        <v>500</v>
      </c>
      <c r="M928" s="5">
        <f>K928 * L928</f>
        <v>2000</v>
      </c>
      <c r="N928" s="5">
        <f>M928 * $Q$4</f>
        <v>30</v>
      </c>
      <c r="O928" s="5">
        <f>M928* $Q$5</f>
        <v>40</v>
      </c>
    </row>
    <row r="929" spans="1:15">
      <c r="A929" s="2">
        <v>928</v>
      </c>
      <c r="B929" s="4">
        <f t="shared" si="42"/>
        <v>5</v>
      </c>
      <c r="C929" s="4">
        <f t="shared" si="43"/>
        <v>4</v>
      </c>
      <c r="D929" s="4">
        <f t="shared" si="44"/>
        <v>2023</v>
      </c>
      <c r="E929" s="3">
        <v>45021</v>
      </c>
      <c r="F929" s="4" t="s">
        <v>954</v>
      </c>
      <c r="G929" s="4" t="s">
        <v>19</v>
      </c>
      <c r="H929" s="4" t="str" cm="1">
        <f t="array" ref="H929">_xlfn.IFS(I929&lt;30, "Young Adult", I929&gt;=50, "Senior", I929&gt;=30, "Adult")</f>
        <v>Adult</v>
      </c>
      <c r="I929" s="4">
        <v>35</v>
      </c>
      <c r="J929" s="4" t="s">
        <v>20</v>
      </c>
      <c r="K929" s="4">
        <v>4</v>
      </c>
      <c r="L929" s="5">
        <v>300</v>
      </c>
      <c r="M929" s="5">
        <f>K929 * L929</f>
        <v>1200</v>
      </c>
      <c r="N929" s="5">
        <f>M929 * $Q$4</f>
        <v>18</v>
      </c>
      <c r="O929" s="5">
        <f>M929* $Q$5</f>
        <v>24</v>
      </c>
    </row>
    <row r="930" spans="1:15">
      <c r="A930" s="2">
        <v>929</v>
      </c>
      <c r="B930" s="4">
        <f t="shared" si="42"/>
        <v>27</v>
      </c>
      <c r="C930" s="4">
        <f t="shared" si="43"/>
        <v>1</v>
      </c>
      <c r="D930" s="4">
        <f t="shared" si="44"/>
        <v>2023</v>
      </c>
      <c r="E930" s="3">
        <v>44953</v>
      </c>
      <c r="F930" s="4" t="s">
        <v>955</v>
      </c>
      <c r="G930" s="4" t="s">
        <v>19</v>
      </c>
      <c r="H930" s="4" t="str" cm="1">
        <f t="array" ref="H930">_xlfn.IFS(I930&lt;30, "Young Adult", I930&gt;=50, "Senior", I930&gt;=30, "Adult")</f>
        <v>Young Adult</v>
      </c>
      <c r="I930" s="4">
        <v>23</v>
      </c>
      <c r="J930" s="4" t="s">
        <v>17</v>
      </c>
      <c r="K930" s="4">
        <v>3</v>
      </c>
      <c r="L930" s="5">
        <v>25</v>
      </c>
      <c r="M930" s="5">
        <f>K930 * L930</f>
        <v>75</v>
      </c>
      <c r="N930" s="5">
        <f>M930 * $Q$4</f>
        <v>1.125</v>
      </c>
      <c r="O930" s="5">
        <f>M930* $Q$5</f>
        <v>1.5</v>
      </c>
    </row>
    <row r="931" spans="1:15">
      <c r="A931" s="2">
        <v>930</v>
      </c>
      <c r="B931" s="4">
        <f t="shared" si="42"/>
        <v>10</v>
      </c>
      <c r="C931" s="4">
        <f t="shared" si="43"/>
        <v>5</v>
      </c>
      <c r="D931" s="4">
        <f t="shared" si="44"/>
        <v>2023</v>
      </c>
      <c r="E931" s="3">
        <v>45056</v>
      </c>
      <c r="F931" s="4" t="s">
        <v>956</v>
      </c>
      <c r="G931" s="4" t="s">
        <v>16</v>
      </c>
      <c r="H931" s="4" t="str" cm="1">
        <f t="array" ref="H931">_xlfn.IFS(I931&lt;30, "Young Adult", I931&gt;=50, "Senior", I931&gt;=30, "Adult")</f>
        <v>Senior</v>
      </c>
      <c r="I931" s="4">
        <v>54</v>
      </c>
      <c r="J931" s="4" t="s">
        <v>20</v>
      </c>
      <c r="K931" s="4">
        <v>4</v>
      </c>
      <c r="L931" s="5">
        <v>50</v>
      </c>
      <c r="M931" s="5">
        <f>K931 * L931</f>
        <v>200</v>
      </c>
      <c r="N931" s="5">
        <f>M931 * $Q$4</f>
        <v>3</v>
      </c>
      <c r="O931" s="5">
        <f>M931* $Q$5</f>
        <v>4</v>
      </c>
    </row>
    <row r="932" spans="1:15">
      <c r="A932" s="2">
        <v>931</v>
      </c>
      <c r="B932" s="4">
        <f t="shared" si="42"/>
        <v>2</v>
      </c>
      <c r="C932" s="4">
        <f t="shared" si="43"/>
        <v>9</v>
      </c>
      <c r="D932" s="4">
        <f t="shared" si="44"/>
        <v>2023</v>
      </c>
      <c r="E932" s="3">
        <v>45171</v>
      </c>
      <c r="F932" s="4" t="s">
        <v>957</v>
      </c>
      <c r="G932" s="4" t="s">
        <v>16</v>
      </c>
      <c r="H932" s="4" t="str" cm="1">
        <f t="array" ref="H932">_xlfn.IFS(I932&lt;30, "Young Adult", I932&gt;=50, "Senior", I932&gt;=30, "Adult")</f>
        <v>Adult</v>
      </c>
      <c r="I932" s="4">
        <v>30</v>
      </c>
      <c r="J932" s="4" t="s">
        <v>17</v>
      </c>
      <c r="K932" s="4">
        <v>4</v>
      </c>
      <c r="L932" s="5">
        <v>30</v>
      </c>
      <c r="M932" s="5">
        <f>K932 * L932</f>
        <v>120</v>
      </c>
      <c r="N932" s="5">
        <f>M932 * $Q$4</f>
        <v>1.7999999999999998</v>
      </c>
      <c r="O932" s="5">
        <f>M932* $Q$5</f>
        <v>2.4</v>
      </c>
    </row>
    <row r="933" spans="1:15">
      <c r="A933" s="2">
        <v>932</v>
      </c>
      <c r="B933" s="4">
        <f t="shared" si="42"/>
        <v>28</v>
      </c>
      <c r="C933" s="4">
        <f t="shared" si="43"/>
        <v>2</v>
      </c>
      <c r="D933" s="4">
        <f t="shared" si="44"/>
        <v>2023</v>
      </c>
      <c r="E933" s="3">
        <v>44985</v>
      </c>
      <c r="F933" s="4" t="s">
        <v>958</v>
      </c>
      <c r="G933" s="4" t="s">
        <v>19</v>
      </c>
      <c r="H933" s="4" t="str" cm="1">
        <f t="array" ref="H933">_xlfn.IFS(I933&lt;30, "Young Adult", I933&gt;=50, "Senior", I933&gt;=30, "Adult")</f>
        <v>Adult</v>
      </c>
      <c r="I933" s="4">
        <v>45</v>
      </c>
      <c r="J933" s="4" t="s">
        <v>17</v>
      </c>
      <c r="K933" s="4">
        <v>4</v>
      </c>
      <c r="L933" s="5">
        <v>25</v>
      </c>
      <c r="M933" s="5">
        <f>K933 * L933</f>
        <v>100</v>
      </c>
      <c r="N933" s="5">
        <f>M933 * $Q$4</f>
        <v>1.5</v>
      </c>
      <c r="O933" s="5">
        <f>M933* $Q$5</f>
        <v>2</v>
      </c>
    </row>
    <row r="934" spans="1:15">
      <c r="A934" s="2">
        <v>933</v>
      </c>
      <c r="B934" s="4">
        <f t="shared" si="42"/>
        <v>3</v>
      </c>
      <c r="C934" s="4">
        <f t="shared" si="43"/>
        <v>2</v>
      </c>
      <c r="D934" s="4">
        <f t="shared" si="44"/>
        <v>2023</v>
      </c>
      <c r="E934" s="3">
        <v>44960</v>
      </c>
      <c r="F934" s="4" t="s">
        <v>959</v>
      </c>
      <c r="G934" s="4" t="s">
        <v>16</v>
      </c>
      <c r="H934" s="4" t="str" cm="1">
        <f t="array" ref="H934">_xlfn.IFS(I934&lt;30, "Young Adult", I934&gt;=50, "Senior", I934&gt;=30, "Adult")</f>
        <v>Young Adult</v>
      </c>
      <c r="I934" s="4">
        <v>22</v>
      </c>
      <c r="J934" s="4" t="s">
        <v>17</v>
      </c>
      <c r="K934" s="4">
        <v>1</v>
      </c>
      <c r="L934" s="5">
        <v>30</v>
      </c>
      <c r="M934" s="5">
        <f>K934 * L934</f>
        <v>30</v>
      </c>
      <c r="N934" s="5">
        <f>M934 * $Q$4</f>
        <v>0.44999999999999996</v>
      </c>
      <c r="O934" s="5">
        <f>M934* $Q$5</f>
        <v>0.6</v>
      </c>
    </row>
    <row r="935" spans="1:15">
      <c r="A935" s="2">
        <v>934</v>
      </c>
      <c r="B935" s="4">
        <f t="shared" si="42"/>
        <v>25</v>
      </c>
      <c r="C935" s="4">
        <f t="shared" si="43"/>
        <v>7</v>
      </c>
      <c r="D935" s="4">
        <f t="shared" si="44"/>
        <v>2023</v>
      </c>
      <c r="E935" s="3">
        <v>45132</v>
      </c>
      <c r="F935" s="4" t="s">
        <v>960</v>
      </c>
      <c r="G935" s="4" t="s">
        <v>16</v>
      </c>
      <c r="H935" s="4" t="str" cm="1">
        <f t="array" ref="H935">_xlfn.IFS(I935&lt;30, "Young Adult", I935&gt;=50, "Senior", I935&gt;=30, "Adult")</f>
        <v>Adult</v>
      </c>
      <c r="I935" s="4">
        <v>30</v>
      </c>
      <c r="J935" s="4" t="s">
        <v>17</v>
      </c>
      <c r="K935" s="4">
        <v>1</v>
      </c>
      <c r="L935" s="5">
        <v>500</v>
      </c>
      <c r="M935" s="5">
        <f>K935 * L935</f>
        <v>500</v>
      </c>
      <c r="N935" s="5">
        <f>M935 * $Q$4</f>
        <v>7.5</v>
      </c>
      <c r="O935" s="5">
        <f>M935* $Q$5</f>
        <v>10</v>
      </c>
    </row>
    <row r="936" spans="1:15">
      <c r="A936" s="2">
        <v>935</v>
      </c>
      <c r="B936" s="4">
        <f t="shared" si="42"/>
        <v>9</v>
      </c>
      <c r="C936" s="4">
        <f t="shared" si="43"/>
        <v>9</v>
      </c>
      <c r="D936" s="4">
        <f t="shared" si="44"/>
        <v>2023</v>
      </c>
      <c r="E936" s="3">
        <v>45178</v>
      </c>
      <c r="F936" s="4" t="s">
        <v>961</v>
      </c>
      <c r="G936" s="4" t="s">
        <v>19</v>
      </c>
      <c r="H936" s="4" t="str" cm="1">
        <f t="array" ref="H936">_xlfn.IFS(I936&lt;30, "Young Adult", I936&gt;=50, "Senior", I936&gt;=30, "Adult")</f>
        <v>Adult</v>
      </c>
      <c r="I936" s="4">
        <v>34</v>
      </c>
      <c r="J936" s="4" t="s">
        <v>17</v>
      </c>
      <c r="K936" s="4">
        <v>1</v>
      </c>
      <c r="L936" s="5">
        <v>50</v>
      </c>
      <c r="M936" s="5">
        <f>K936 * L936</f>
        <v>50</v>
      </c>
      <c r="N936" s="5">
        <f>M936 * $Q$4</f>
        <v>0.75</v>
      </c>
      <c r="O936" s="5">
        <f>M936* $Q$5</f>
        <v>1</v>
      </c>
    </row>
    <row r="937" spans="1:15">
      <c r="A937" s="2">
        <v>936</v>
      </c>
      <c r="B937" s="4">
        <f t="shared" si="42"/>
        <v>7</v>
      </c>
      <c r="C937" s="4">
        <f t="shared" si="43"/>
        <v>2</v>
      </c>
      <c r="D937" s="4">
        <f t="shared" si="44"/>
        <v>2023</v>
      </c>
      <c r="E937" s="3">
        <v>44964</v>
      </c>
      <c r="F937" s="4" t="s">
        <v>962</v>
      </c>
      <c r="G937" s="4" t="s">
        <v>16</v>
      </c>
      <c r="H937" s="4" t="str" cm="1">
        <f t="array" ref="H937">_xlfn.IFS(I937&lt;30, "Young Adult", I937&gt;=50, "Senior", I937&gt;=30, "Adult")</f>
        <v>Senior</v>
      </c>
      <c r="I937" s="4">
        <v>57</v>
      </c>
      <c r="J937" s="4" t="s">
        <v>17</v>
      </c>
      <c r="K937" s="4">
        <v>4</v>
      </c>
      <c r="L937" s="5">
        <v>50</v>
      </c>
      <c r="M937" s="5">
        <f>K937 * L937</f>
        <v>200</v>
      </c>
      <c r="N937" s="5">
        <f>M937 * $Q$4</f>
        <v>3</v>
      </c>
      <c r="O937" s="5">
        <f>M937* $Q$5</f>
        <v>4</v>
      </c>
    </row>
    <row r="938" spans="1:15">
      <c r="A938" s="2">
        <v>937</v>
      </c>
      <c r="B938" s="4">
        <f t="shared" si="42"/>
        <v>23</v>
      </c>
      <c r="C938" s="4">
        <f t="shared" si="43"/>
        <v>10</v>
      </c>
      <c r="D938" s="4">
        <f t="shared" si="44"/>
        <v>2023</v>
      </c>
      <c r="E938" s="3">
        <v>45222</v>
      </c>
      <c r="F938" s="4" t="s">
        <v>963</v>
      </c>
      <c r="G938" s="4" t="s">
        <v>19</v>
      </c>
      <c r="H938" s="4" t="str" cm="1">
        <f t="array" ref="H938">_xlfn.IFS(I938&lt;30, "Young Adult", I938&gt;=50, "Senior", I938&gt;=30, "Adult")</f>
        <v>Senior</v>
      </c>
      <c r="I938" s="4">
        <v>62</v>
      </c>
      <c r="J938" s="4" t="s">
        <v>17</v>
      </c>
      <c r="K938" s="4">
        <v>1</v>
      </c>
      <c r="L938" s="5">
        <v>500</v>
      </c>
      <c r="M938" s="5">
        <f>K938 * L938</f>
        <v>500</v>
      </c>
      <c r="N938" s="5">
        <f>M938 * $Q$4</f>
        <v>7.5</v>
      </c>
      <c r="O938" s="5">
        <f>M938* $Q$5</f>
        <v>10</v>
      </c>
    </row>
    <row r="939" spans="1:15">
      <c r="A939" s="2">
        <v>938</v>
      </c>
      <c r="B939" s="4">
        <f t="shared" si="42"/>
        <v>19</v>
      </c>
      <c r="C939" s="4">
        <f t="shared" si="43"/>
        <v>11</v>
      </c>
      <c r="D939" s="4">
        <f t="shared" si="44"/>
        <v>2023</v>
      </c>
      <c r="E939" s="3">
        <v>45249</v>
      </c>
      <c r="F939" s="4" t="s">
        <v>964</v>
      </c>
      <c r="G939" s="4" t="s">
        <v>16</v>
      </c>
      <c r="H939" s="4" t="str" cm="1">
        <f t="array" ref="H939">_xlfn.IFS(I939&lt;30, "Young Adult", I939&gt;=50, "Senior", I939&gt;=30, "Adult")</f>
        <v>Adult</v>
      </c>
      <c r="I939" s="4">
        <v>49</v>
      </c>
      <c r="J939" s="4" t="s">
        <v>20</v>
      </c>
      <c r="K939" s="4">
        <v>4</v>
      </c>
      <c r="L939" s="5">
        <v>50</v>
      </c>
      <c r="M939" s="5">
        <f>K939 * L939</f>
        <v>200</v>
      </c>
      <c r="N939" s="5">
        <f>M939 * $Q$4</f>
        <v>3</v>
      </c>
      <c r="O939" s="5">
        <f>M939* $Q$5</f>
        <v>4</v>
      </c>
    </row>
    <row r="940" spans="1:15">
      <c r="A940" s="2">
        <v>939</v>
      </c>
      <c r="B940" s="4">
        <f t="shared" si="42"/>
        <v>18</v>
      </c>
      <c r="C940" s="4">
        <f t="shared" si="43"/>
        <v>12</v>
      </c>
      <c r="D940" s="4">
        <f t="shared" si="44"/>
        <v>2023</v>
      </c>
      <c r="E940" s="3">
        <v>45278</v>
      </c>
      <c r="F940" s="4" t="s">
        <v>965</v>
      </c>
      <c r="G940" s="4" t="s">
        <v>19</v>
      </c>
      <c r="H940" s="4" t="str" cm="1">
        <f t="array" ref="H940">_xlfn.IFS(I940&lt;30, "Young Adult", I940&gt;=50, "Senior", I940&gt;=30, "Adult")</f>
        <v>Adult</v>
      </c>
      <c r="I940" s="4">
        <v>46</v>
      </c>
      <c r="J940" s="4" t="s">
        <v>24</v>
      </c>
      <c r="K940" s="4">
        <v>1</v>
      </c>
      <c r="L940" s="5">
        <v>300</v>
      </c>
      <c r="M940" s="5">
        <f>K940 * L940</f>
        <v>300</v>
      </c>
      <c r="N940" s="5">
        <f>M940 * $Q$4</f>
        <v>4.5</v>
      </c>
      <c r="O940" s="5">
        <f>M940* $Q$5</f>
        <v>6</v>
      </c>
    </row>
    <row r="941" spans="1:15">
      <c r="A941" s="2">
        <v>940</v>
      </c>
      <c r="B941" s="4">
        <f t="shared" si="42"/>
        <v>28</v>
      </c>
      <c r="C941" s="4">
        <f t="shared" si="43"/>
        <v>1</v>
      </c>
      <c r="D941" s="4">
        <f t="shared" si="44"/>
        <v>2023</v>
      </c>
      <c r="E941" s="3">
        <v>44954</v>
      </c>
      <c r="F941" s="4" t="s">
        <v>966</v>
      </c>
      <c r="G941" s="4" t="s">
        <v>19</v>
      </c>
      <c r="H941" s="4" t="str" cm="1">
        <f t="array" ref="H941">_xlfn.IFS(I941&lt;30, "Young Adult", I941&gt;=50, "Senior", I941&gt;=30, "Adult")</f>
        <v>Young Adult</v>
      </c>
      <c r="I941" s="4">
        <v>20</v>
      </c>
      <c r="J941" s="4" t="s">
        <v>24</v>
      </c>
      <c r="K941" s="4">
        <v>1</v>
      </c>
      <c r="L941" s="5">
        <v>30</v>
      </c>
      <c r="M941" s="5">
        <f>K941 * L941</f>
        <v>30</v>
      </c>
      <c r="N941" s="5">
        <f>M941 * $Q$4</f>
        <v>0.44999999999999996</v>
      </c>
      <c r="O941" s="5">
        <f>M941* $Q$5</f>
        <v>0.6</v>
      </c>
    </row>
    <row r="942" spans="1:15">
      <c r="A942" s="2">
        <v>941</v>
      </c>
      <c r="B942" s="4">
        <f t="shared" si="42"/>
        <v>19</v>
      </c>
      <c r="C942" s="4">
        <f t="shared" si="43"/>
        <v>3</v>
      </c>
      <c r="D942" s="4">
        <f t="shared" si="44"/>
        <v>2023</v>
      </c>
      <c r="E942" s="3">
        <v>45004</v>
      </c>
      <c r="F942" s="4" t="s">
        <v>967</v>
      </c>
      <c r="G942" s="4" t="s">
        <v>19</v>
      </c>
      <c r="H942" s="4" t="str" cm="1">
        <f t="array" ref="H942">_xlfn.IFS(I942&lt;30, "Young Adult", I942&gt;=50, "Senior", I942&gt;=30, "Adult")</f>
        <v>Senior</v>
      </c>
      <c r="I942" s="4">
        <v>57</v>
      </c>
      <c r="J942" s="4" t="s">
        <v>20</v>
      </c>
      <c r="K942" s="4">
        <v>2</v>
      </c>
      <c r="L942" s="5">
        <v>25</v>
      </c>
      <c r="M942" s="5">
        <f>K942 * L942</f>
        <v>50</v>
      </c>
      <c r="N942" s="5">
        <f>M942 * $Q$4</f>
        <v>0.75</v>
      </c>
      <c r="O942" s="5">
        <f>M942* $Q$5</f>
        <v>1</v>
      </c>
    </row>
    <row r="943" spans="1:15">
      <c r="A943" s="2">
        <v>942</v>
      </c>
      <c r="B943" s="4">
        <f t="shared" si="42"/>
        <v>18</v>
      </c>
      <c r="C943" s="4">
        <f t="shared" si="43"/>
        <v>3</v>
      </c>
      <c r="D943" s="4">
        <f t="shared" si="44"/>
        <v>2023</v>
      </c>
      <c r="E943" s="3">
        <v>45003</v>
      </c>
      <c r="F943" s="4" t="s">
        <v>968</v>
      </c>
      <c r="G943" s="4" t="s">
        <v>16</v>
      </c>
      <c r="H943" s="4" t="str" cm="1">
        <f t="array" ref="H943">_xlfn.IFS(I943&lt;30, "Young Adult", I943&gt;=50, "Senior", I943&gt;=30, "Adult")</f>
        <v>Senior</v>
      </c>
      <c r="I943" s="4">
        <v>51</v>
      </c>
      <c r="J943" s="4" t="s">
        <v>20</v>
      </c>
      <c r="K943" s="4">
        <v>3</v>
      </c>
      <c r="L943" s="5">
        <v>500</v>
      </c>
      <c r="M943" s="5">
        <f>K943 * L943</f>
        <v>1500</v>
      </c>
      <c r="N943" s="5">
        <f>M943 * $Q$4</f>
        <v>22.5</v>
      </c>
      <c r="O943" s="5">
        <f>M943* $Q$5</f>
        <v>30</v>
      </c>
    </row>
    <row r="944" spans="1:15">
      <c r="A944" s="2">
        <v>943</v>
      </c>
      <c r="B944" s="4">
        <f t="shared" si="42"/>
        <v>16</v>
      </c>
      <c r="C944" s="4">
        <f t="shared" si="43"/>
        <v>10</v>
      </c>
      <c r="D944" s="4">
        <f t="shared" si="44"/>
        <v>2023</v>
      </c>
      <c r="E944" s="3">
        <v>45215</v>
      </c>
      <c r="F944" s="4" t="s">
        <v>969</v>
      </c>
      <c r="G944" s="4" t="s">
        <v>19</v>
      </c>
      <c r="H944" s="4" t="str" cm="1">
        <f t="array" ref="H944">_xlfn.IFS(I944&lt;30, "Young Adult", I944&gt;=50, "Senior", I944&gt;=30, "Adult")</f>
        <v>Senior</v>
      </c>
      <c r="I944" s="4">
        <v>57</v>
      </c>
      <c r="J944" s="4" t="s">
        <v>20</v>
      </c>
      <c r="K944" s="4">
        <v>4</v>
      </c>
      <c r="L944" s="5">
        <v>300</v>
      </c>
      <c r="M944" s="5">
        <f>K944 * L944</f>
        <v>1200</v>
      </c>
      <c r="N944" s="5">
        <f>M944 * $Q$4</f>
        <v>18</v>
      </c>
      <c r="O944" s="5">
        <f>M944* $Q$5</f>
        <v>24</v>
      </c>
    </row>
    <row r="945" spans="1:15">
      <c r="A945" s="2">
        <v>944</v>
      </c>
      <c r="B945" s="4">
        <f t="shared" si="42"/>
        <v>5</v>
      </c>
      <c r="C945" s="4">
        <f t="shared" si="43"/>
        <v>6</v>
      </c>
      <c r="D945" s="4">
        <f t="shared" si="44"/>
        <v>2023</v>
      </c>
      <c r="E945" s="3">
        <v>45082</v>
      </c>
      <c r="F945" s="4" t="s">
        <v>970</v>
      </c>
      <c r="G945" s="4" t="s">
        <v>16</v>
      </c>
      <c r="H945" s="4" t="str" cm="1">
        <f t="array" ref="H945">_xlfn.IFS(I945&lt;30, "Young Adult", I945&gt;=50, "Senior", I945&gt;=30, "Adult")</f>
        <v>Adult</v>
      </c>
      <c r="I945" s="4">
        <v>44</v>
      </c>
      <c r="J945" s="4" t="s">
        <v>20</v>
      </c>
      <c r="K945" s="4">
        <v>2</v>
      </c>
      <c r="L945" s="5">
        <v>25</v>
      </c>
      <c r="M945" s="5">
        <f>K945 * L945</f>
        <v>50</v>
      </c>
      <c r="N945" s="5">
        <f>M945 * $Q$4</f>
        <v>0.75</v>
      </c>
      <c r="O945" s="5">
        <f>M945* $Q$5</f>
        <v>1</v>
      </c>
    </row>
    <row r="946" spans="1:15">
      <c r="A946" s="2">
        <v>945</v>
      </c>
      <c r="B946" s="4">
        <f t="shared" si="42"/>
        <v>13</v>
      </c>
      <c r="C946" s="4">
        <f t="shared" si="43"/>
        <v>2</v>
      </c>
      <c r="D946" s="4">
        <f t="shared" si="44"/>
        <v>2023</v>
      </c>
      <c r="E946" s="3">
        <v>44970</v>
      </c>
      <c r="F946" s="4" t="s">
        <v>971</v>
      </c>
      <c r="G946" s="4" t="s">
        <v>16</v>
      </c>
      <c r="H946" s="4" t="str" cm="1">
        <f t="array" ref="H946">_xlfn.IFS(I946&lt;30, "Young Adult", I946&gt;=50, "Senior", I946&gt;=30, "Adult")</f>
        <v>Adult</v>
      </c>
      <c r="I946" s="4">
        <v>30</v>
      </c>
      <c r="J946" s="4" t="s">
        <v>17</v>
      </c>
      <c r="K946" s="4">
        <v>1</v>
      </c>
      <c r="L946" s="5">
        <v>25</v>
      </c>
      <c r="M946" s="5">
        <f>K946 * L946</f>
        <v>25</v>
      </c>
      <c r="N946" s="5">
        <f>M946 * $Q$4</f>
        <v>0.375</v>
      </c>
      <c r="O946" s="5">
        <f>M946* $Q$5</f>
        <v>0.5</v>
      </c>
    </row>
    <row r="947" spans="1:15">
      <c r="A947" s="2">
        <v>946</v>
      </c>
      <c r="B947" s="4">
        <f t="shared" si="42"/>
        <v>8</v>
      </c>
      <c r="C947" s="4">
        <f t="shared" si="43"/>
        <v>5</v>
      </c>
      <c r="D947" s="4">
        <f t="shared" si="44"/>
        <v>2023</v>
      </c>
      <c r="E947" s="3">
        <v>45054</v>
      </c>
      <c r="F947" s="4" t="s">
        <v>972</v>
      </c>
      <c r="G947" s="4" t="s">
        <v>16</v>
      </c>
      <c r="H947" s="4" t="str" cm="1">
        <f t="array" ref="H947">_xlfn.IFS(I947&lt;30, "Young Adult", I947&gt;=50, "Senior", I947&gt;=30, "Adult")</f>
        <v>Senior</v>
      </c>
      <c r="I947" s="4">
        <v>62</v>
      </c>
      <c r="J947" s="4" t="s">
        <v>24</v>
      </c>
      <c r="K947" s="4">
        <v>4</v>
      </c>
      <c r="L947" s="5">
        <v>500</v>
      </c>
      <c r="M947" s="5">
        <f>K947 * L947</f>
        <v>2000</v>
      </c>
      <c r="N947" s="5">
        <f>M947 * $Q$4</f>
        <v>30</v>
      </c>
      <c r="O947" s="5">
        <f>M947* $Q$5</f>
        <v>40</v>
      </c>
    </row>
    <row r="948" spans="1:15">
      <c r="A948" s="2">
        <v>947</v>
      </c>
      <c r="B948" s="4">
        <f t="shared" si="42"/>
        <v>2</v>
      </c>
      <c r="C948" s="4">
        <f t="shared" si="43"/>
        <v>3</v>
      </c>
      <c r="D948" s="4">
        <f t="shared" si="44"/>
        <v>2023</v>
      </c>
      <c r="E948" s="3">
        <v>44987</v>
      </c>
      <c r="F948" s="4" t="s">
        <v>973</v>
      </c>
      <c r="G948" s="4" t="s">
        <v>16</v>
      </c>
      <c r="H948" s="4" t="str" cm="1">
        <f t="array" ref="H948">_xlfn.IFS(I948&lt;30, "Young Adult", I948&gt;=50, "Senior", I948&gt;=30, "Adult")</f>
        <v>Senior</v>
      </c>
      <c r="I948" s="4">
        <v>50</v>
      </c>
      <c r="J948" s="4" t="s">
        <v>17</v>
      </c>
      <c r="K948" s="4">
        <v>1</v>
      </c>
      <c r="L948" s="5">
        <v>300</v>
      </c>
      <c r="M948" s="5">
        <f>K948 * L948</f>
        <v>300</v>
      </c>
      <c r="N948" s="5">
        <f>M948 * $Q$4</f>
        <v>4.5</v>
      </c>
      <c r="O948" s="5">
        <f>M948* $Q$5</f>
        <v>6</v>
      </c>
    </row>
    <row r="949" spans="1:15">
      <c r="A949" s="2">
        <v>948</v>
      </c>
      <c r="B949" s="4">
        <f t="shared" si="42"/>
        <v>13</v>
      </c>
      <c r="C949" s="4">
        <f t="shared" si="43"/>
        <v>10</v>
      </c>
      <c r="D949" s="4">
        <f t="shared" si="44"/>
        <v>2023</v>
      </c>
      <c r="E949" s="3">
        <v>45212</v>
      </c>
      <c r="F949" s="4" t="s">
        <v>974</v>
      </c>
      <c r="G949" s="4" t="s">
        <v>19</v>
      </c>
      <c r="H949" s="4" t="str" cm="1">
        <f t="array" ref="H949">_xlfn.IFS(I949&lt;30, "Young Adult", I949&gt;=50, "Senior", I949&gt;=30, "Adult")</f>
        <v>Young Adult</v>
      </c>
      <c r="I949" s="4">
        <v>23</v>
      </c>
      <c r="J949" s="4" t="s">
        <v>24</v>
      </c>
      <c r="K949" s="4">
        <v>3</v>
      </c>
      <c r="L949" s="5">
        <v>25</v>
      </c>
      <c r="M949" s="5">
        <f>K949 * L949</f>
        <v>75</v>
      </c>
      <c r="N949" s="5">
        <f>M949 * $Q$4</f>
        <v>1.125</v>
      </c>
      <c r="O949" s="5">
        <f>M949* $Q$5</f>
        <v>1.5</v>
      </c>
    </row>
    <row r="950" spans="1:15">
      <c r="A950" s="2">
        <v>949</v>
      </c>
      <c r="B950" s="4">
        <f t="shared" si="42"/>
        <v>2</v>
      </c>
      <c r="C950" s="4">
        <f t="shared" si="43"/>
        <v>8</v>
      </c>
      <c r="D950" s="4">
        <f t="shared" si="44"/>
        <v>2023</v>
      </c>
      <c r="E950" s="3">
        <v>45140</v>
      </c>
      <c r="F950" s="4" t="s">
        <v>975</v>
      </c>
      <c r="G950" s="4" t="s">
        <v>19</v>
      </c>
      <c r="H950" s="4" t="str" cm="1">
        <f t="array" ref="H950">_xlfn.IFS(I950&lt;30, "Young Adult", I950&gt;=50, "Senior", I950&gt;=30, "Adult")</f>
        <v>Adult</v>
      </c>
      <c r="I950" s="4">
        <v>41</v>
      </c>
      <c r="J950" s="4" t="s">
        <v>24</v>
      </c>
      <c r="K950" s="4">
        <v>2</v>
      </c>
      <c r="L950" s="5">
        <v>25</v>
      </c>
      <c r="M950" s="5">
        <f>K950 * L950</f>
        <v>50</v>
      </c>
      <c r="N950" s="5">
        <f>M950 * $Q$4</f>
        <v>0.75</v>
      </c>
      <c r="O950" s="5">
        <f>M950* $Q$5</f>
        <v>1</v>
      </c>
    </row>
    <row r="951" spans="1:15">
      <c r="A951" s="2">
        <v>950</v>
      </c>
      <c r="B951" s="4">
        <f t="shared" si="42"/>
        <v>7</v>
      </c>
      <c r="C951" s="4">
        <f t="shared" si="43"/>
        <v>11</v>
      </c>
      <c r="D951" s="4">
        <f t="shared" si="44"/>
        <v>2023</v>
      </c>
      <c r="E951" s="3">
        <v>45237</v>
      </c>
      <c r="F951" s="4" t="s">
        <v>976</v>
      </c>
      <c r="G951" s="4" t="s">
        <v>16</v>
      </c>
      <c r="H951" s="4" t="str" cm="1">
        <f t="array" ref="H951">_xlfn.IFS(I951&lt;30, "Young Adult", I951&gt;=50, "Senior", I951&gt;=30, "Adult")</f>
        <v>Adult</v>
      </c>
      <c r="I951" s="4">
        <v>36</v>
      </c>
      <c r="J951" s="4" t="s">
        <v>20</v>
      </c>
      <c r="K951" s="4">
        <v>3</v>
      </c>
      <c r="L951" s="5">
        <v>300</v>
      </c>
      <c r="M951" s="5">
        <f>K951 * L951</f>
        <v>900</v>
      </c>
      <c r="N951" s="5">
        <f>M951 * $Q$4</f>
        <v>13.5</v>
      </c>
      <c r="O951" s="5">
        <f>M951* $Q$5</f>
        <v>18</v>
      </c>
    </row>
    <row r="952" spans="1:15">
      <c r="A952" s="2">
        <v>951</v>
      </c>
      <c r="B952" s="4">
        <f t="shared" si="42"/>
        <v>2</v>
      </c>
      <c r="C952" s="4">
        <f t="shared" si="43"/>
        <v>11</v>
      </c>
      <c r="D952" s="4">
        <f t="shared" si="44"/>
        <v>2023</v>
      </c>
      <c r="E952" s="3">
        <v>45232</v>
      </c>
      <c r="F952" s="4" t="s">
        <v>977</v>
      </c>
      <c r="G952" s="4" t="s">
        <v>16</v>
      </c>
      <c r="H952" s="4" t="str" cm="1">
        <f t="array" ref="H952">_xlfn.IFS(I952&lt;30, "Young Adult", I952&gt;=50, "Senior", I952&gt;=30, "Adult")</f>
        <v>Adult</v>
      </c>
      <c r="I952" s="4">
        <v>33</v>
      </c>
      <c r="J952" s="4" t="s">
        <v>17</v>
      </c>
      <c r="K952" s="4">
        <v>2</v>
      </c>
      <c r="L952" s="5">
        <v>50</v>
      </c>
      <c r="M952" s="5">
        <f>K952 * L952</f>
        <v>100</v>
      </c>
      <c r="N952" s="5">
        <f>M952 * $Q$4</f>
        <v>1.5</v>
      </c>
      <c r="O952" s="5">
        <f>M952* $Q$5</f>
        <v>2</v>
      </c>
    </row>
    <row r="953" spans="1:15">
      <c r="A953" s="2">
        <v>952</v>
      </c>
      <c r="B953" s="4">
        <f t="shared" si="42"/>
        <v>13</v>
      </c>
      <c r="C953" s="4">
        <f t="shared" si="43"/>
        <v>11</v>
      </c>
      <c r="D953" s="4">
        <f t="shared" si="44"/>
        <v>2023</v>
      </c>
      <c r="E953" s="3">
        <v>45243</v>
      </c>
      <c r="F953" s="4" t="s">
        <v>978</v>
      </c>
      <c r="G953" s="4" t="s">
        <v>19</v>
      </c>
      <c r="H953" s="4" t="str" cm="1">
        <f t="array" ref="H953">_xlfn.IFS(I953&lt;30, "Young Adult", I953&gt;=50, "Senior", I953&gt;=30, "Adult")</f>
        <v>Senior</v>
      </c>
      <c r="I953" s="4">
        <v>57</v>
      </c>
      <c r="J953" s="4" t="s">
        <v>20</v>
      </c>
      <c r="K953" s="4">
        <v>1</v>
      </c>
      <c r="L953" s="5">
        <v>25</v>
      </c>
      <c r="M953" s="5">
        <f>K953 * L953</f>
        <v>25</v>
      </c>
      <c r="N953" s="5">
        <f>M953 * $Q$4</f>
        <v>0.375</v>
      </c>
      <c r="O953" s="5">
        <f>M953* $Q$5</f>
        <v>0.5</v>
      </c>
    </row>
    <row r="954" spans="1:15">
      <c r="A954" s="2">
        <v>953</v>
      </c>
      <c r="B954" s="4">
        <f t="shared" si="42"/>
        <v>26</v>
      </c>
      <c r="C954" s="4">
        <f t="shared" si="43"/>
        <v>4</v>
      </c>
      <c r="D954" s="4">
        <f t="shared" si="44"/>
        <v>2023</v>
      </c>
      <c r="E954" s="3">
        <v>45042</v>
      </c>
      <c r="F954" s="4" t="s">
        <v>979</v>
      </c>
      <c r="G954" s="4" t="s">
        <v>16</v>
      </c>
      <c r="H954" s="4" t="str" cm="1">
        <f t="array" ref="H954">_xlfn.IFS(I954&lt;30, "Young Adult", I954&gt;=50, "Senior", I954&gt;=30, "Adult")</f>
        <v>Adult</v>
      </c>
      <c r="I954" s="4">
        <v>45</v>
      </c>
      <c r="J954" s="4" t="s">
        <v>17</v>
      </c>
      <c r="K954" s="4">
        <v>3</v>
      </c>
      <c r="L954" s="5">
        <v>30</v>
      </c>
      <c r="M954" s="5">
        <f>K954 * L954</f>
        <v>90</v>
      </c>
      <c r="N954" s="5">
        <f>M954 * $Q$4</f>
        <v>1.3499999999999999</v>
      </c>
      <c r="O954" s="5">
        <f>M954* $Q$5</f>
        <v>1.8</v>
      </c>
    </row>
    <row r="955" spans="1:15">
      <c r="A955" s="2">
        <v>954</v>
      </c>
      <c r="B955" s="4">
        <f t="shared" si="42"/>
        <v>25</v>
      </c>
      <c r="C955" s="4">
        <f t="shared" si="43"/>
        <v>9</v>
      </c>
      <c r="D955" s="4">
        <f t="shared" si="44"/>
        <v>2023</v>
      </c>
      <c r="E955" s="3">
        <v>45194</v>
      </c>
      <c r="F955" s="4" t="s">
        <v>980</v>
      </c>
      <c r="G955" s="4" t="s">
        <v>19</v>
      </c>
      <c r="H955" s="4" t="str" cm="1">
        <f t="array" ref="H955">_xlfn.IFS(I955&lt;30, "Young Adult", I955&gt;=50, "Senior", I955&gt;=30, "Adult")</f>
        <v>Senior</v>
      </c>
      <c r="I955" s="4">
        <v>50</v>
      </c>
      <c r="J955" s="4" t="s">
        <v>24</v>
      </c>
      <c r="K955" s="4">
        <v>3</v>
      </c>
      <c r="L955" s="5">
        <v>300</v>
      </c>
      <c r="M955" s="5">
        <f>K955 * L955</f>
        <v>900</v>
      </c>
      <c r="N955" s="5">
        <f>M955 * $Q$4</f>
        <v>13.5</v>
      </c>
      <c r="O955" s="5">
        <f>M955* $Q$5</f>
        <v>18</v>
      </c>
    </row>
    <row r="956" spans="1:15">
      <c r="A956" s="2">
        <v>955</v>
      </c>
      <c r="B956" s="4">
        <f t="shared" si="42"/>
        <v>14</v>
      </c>
      <c r="C956" s="4">
        <f t="shared" si="43"/>
        <v>7</v>
      </c>
      <c r="D956" s="4">
        <f t="shared" si="44"/>
        <v>2023</v>
      </c>
      <c r="E956" s="3">
        <v>45121</v>
      </c>
      <c r="F956" s="4" t="s">
        <v>981</v>
      </c>
      <c r="G956" s="4" t="s">
        <v>16</v>
      </c>
      <c r="H956" s="4" t="str" cm="1">
        <f t="array" ref="H956">_xlfn.IFS(I956&lt;30, "Young Adult", I956&gt;=50, "Senior", I956&gt;=30, "Adult")</f>
        <v>Senior</v>
      </c>
      <c r="I956" s="4">
        <v>58</v>
      </c>
      <c r="J956" s="4" t="s">
        <v>20</v>
      </c>
      <c r="K956" s="4">
        <v>1</v>
      </c>
      <c r="L956" s="5">
        <v>25</v>
      </c>
      <c r="M956" s="5">
        <f>K956 * L956</f>
        <v>25</v>
      </c>
      <c r="N956" s="5">
        <f>M956 * $Q$4</f>
        <v>0.375</v>
      </c>
      <c r="O956" s="5">
        <f>M956* $Q$5</f>
        <v>0.5</v>
      </c>
    </row>
    <row r="957" spans="1:15">
      <c r="A957" s="2">
        <v>956</v>
      </c>
      <c r="B957" s="4">
        <f t="shared" si="42"/>
        <v>19</v>
      </c>
      <c r="C957" s="4">
        <f t="shared" si="43"/>
        <v>8</v>
      </c>
      <c r="D957" s="4">
        <f t="shared" si="44"/>
        <v>2023</v>
      </c>
      <c r="E957" s="3">
        <v>45157</v>
      </c>
      <c r="F957" s="4" t="s">
        <v>982</v>
      </c>
      <c r="G957" s="4" t="s">
        <v>16</v>
      </c>
      <c r="H957" s="4" t="str" cm="1">
        <f t="array" ref="H957">_xlfn.IFS(I957&lt;30, "Young Adult", I957&gt;=50, "Senior", I957&gt;=30, "Adult")</f>
        <v>Adult</v>
      </c>
      <c r="I957" s="4">
        <v>30</v>
      </c>
      <c r="J957" s="4" t="s">
        <v>20</v>
      </c>
      <c r="K957" s="4">
        <v>3</v>
      </c>
      <c r="L957" s="5">
        <v>500</v>
      </c>
      <c r="M957" s="5">
        <f>K957 * L957</f>
        <v>1500</v>
      </c>
      <c r="N957" s="5">
        <f>M957 * $Q$4</f>
        <v>22.5</v>
      </c>
      <c r="O957" s="5">
        <f>M957* $Q$5</f>
        <v>30</v>
      </c>
    </row>
    <row r="958" spans="1:15">
      <c r="A958" s="2">
        <v>957</v>
      </c>
      <c r="B958" s="4">
        <f t="shared" si="42"/>
        <v>15</v>
      </c>
      <c r="C958" s="4">
        <f t="shared" si="43"/>
        <v>8</v>
      </c>
      <c r="D958" s="4">
        <f t="shared" si="44"/>
        <v>2023</v>
      </c>
      <c r="E958" s="3">
        <v>45153</v>
      </c>
      <c r="F958" s="4" t="s">
        <v>983</v>
      </c>
      <c r="G958" s="4" t="s">
        <v>19</v>
      </c>
      <c r="H958" s="4" t="str" cm="1">
        <f t="array" ref="H958">_xlfn.IFS(I958&lt;30, "Young Adult", I958&gt;=50, "Senior", I958&gt;=30, "Adult")</f>
        <v>Senior</v>
      </c>
      <c r="I958" s="4">
        <v>60</v>
      </c>
      <c r="J958" s="4" t="s">
        <v>24</v>
      </c>
      <c r="K958" s="4">
        <v>4</v>
      </c>
      <c r="L958" s="5">
        <v>30</v>
      </c>
      <c r="M958" s="5">
        <f>K958 * L958</f>
        <v>120</v>
      </c>
      <c r="N958" s="5">
        <f>M958 * $Q$4</f>
        <v>1.7999999999999998</v>
      </c>
      <c r="O958" s="5">
        <f>M958* $Q$5</f>
        <v>2.4</v>
      </c>
    </row>
    <row r="959" spans="1:15">
      <c r="A959" s="2">
        <v>958</v>
      </c>
      <c r="B959" s="4">
        <f t="shared" si="42"/>
        <v>2</v>
      </c>
      <c r="C959" s="4">
        <f t="shared" si="43"/>
        <v>6</v>
      </c>
      <c r="D959" s="4">
        <f t="shared" si="44"/>
        <v>2023</v>
      </c>
      <c r="E959" s="3">
        <v>45079</v>
      </c>
      <c r="F959" s="4" t="s">
        <v>984</v>
      </c>
      <c r="G959" s="4" t="s">
        <v>16</v>
      </c>
      <c r="H959" s="4" t="str" cm="1">
        <f t="array" ref="H959">_xlfn.IFS(I959&lt;30, "Young Adult", I959&gt;=50, "Senior", I959&gt;=30, "Adult")</f>
        <v>Senior</v>
      </c>
      <c r="I959" s="4">
        <v>62</v>
      </c>
      <c r="J959" s="4" t="s">
        <v>24</v>
      </c>
      <c r="K959" s="4">
        <v>2</v>
      </c>
      <c r="L959" s="5">
        <v>25</v>
      </c>
      <c r="M959" s="5">
        <f>K959 * L959</f>
        <v>50</v>
      </c>
      <c r="N959" s="5">
        <f>M959 * $Q$4</f>
        <v>0.75</v>
      </c>
      <c r="O959" s="5">
        <f>M959* $Q$5</f>
        <v>1</v>
      </c>
    </row>
    <row r="960" spans="1:15">
      <c r="A960" s="2">
        <v>959</v>
      </c>
      <c r="B960" s="4">
        <f t="shared" si="42"/>
        <v>29</v>
      </c>
      <c r="C960" s="4">
        <f t="shared" si="43"/>
        <v>10</v>
      </c>
      <c r="D960" s="4">
        <f t="shared" si="44"/>
        <v>2023</v>
      </c>
      <c r="E960" s="3">
        <v>45228</v>
      </c>
      <c r="F960" s="4" t="s">
        <v>985</v>
      </c>
      <c r="G960" s="4" t="s">
        <v>19</v>
      </c>
      <c r="H960" s="4" t="str" cm="1">
        <f t="array" ref="H960">_xlfn.IFS(I960&lt;30, "Young Adult", I960&gt;=50, "Senior", I960&gt;=30, "Adult")</f>
        <v>Adult</v>
      </c>
      <c r="I960" s="4">
        <v>42</v>
      </c>
      <c r="J960" s="4" t="s">
        <v>24</v>
      </c>
      <c r="K960" s="4">
        <v>2</v>
      </c>
      <c r="L960" s="5">
        <v>30</v>
      </c>
      <c r="M960" s="5">
        <f>K960 * L960</f>
        <v>60</v>
      </c>
      <c r="N960" s="5">
        <f>M960 * $Q$4</f>
        <v>0.89999999999999991</v>
      </c>
      <c r="O960" s="5">
        <f>M960* $Q$5</f>
        <v>1.2</v>
      </c>
    </row>
    <row r="961" spans="1:15">
      <c r="A961" s="2">
        <v>960</v>
      </c>
      <c r="B961" s="4">
        <f t="shared" si="42"/>
        <v>8</v>
      </c>
      <c r="C961" s="4">
        <f t="shared" si="43"/>
        <v>8</v>
      </c>
      <c r="D961" s="4">
        <f t="shared" si="44"/>
        <v>2023</v>
      </c>
      <c r="E961" s="3">
        <v>45146</v>
      </c>
      <c r="F961" s="4" t="s">
        <v>986</v>
      </c>
      <c r="G961" s="4" t="s">
        <v>16</v>
      </c>
      <c r="H961" s="4" t="str" cm="1">
        <f t="array" ref="H961">_xlfn.IFS(I961&lt;30, "Young Adult", I961&gt;=50, "Senior", I961&gt;=30, "Adult")</f>
        <v>Senior</v>
      </c>
      <c r="I961" s="4">
        <v>59</v>
      </c>
      <c r="J961" s="4" t="s">
        <v>20</v>
      </c>
      <c r="K961" s="4">
        <v>2</v>
      </c>
      <c r="L961" s="5">
        <v>30</v>
      </c>
      <c r="M961" s="5">
        <f>K961 * L961</f>
        <v>60</v>
      </c>
      <c r="N961" s="5">
        <f>M961 * $Q$4</f>
        <v>0.89999999999999991</v>
      </c>
      <c r="O961" s="5">
        <f>M961* $Q$5</f>
        <v>1.2</v>
      </c>
    </row>
    <row r="962" spans="1:15">
      <c r="A962" s="2">
        <v>961</v>
      </c>
      <c r="B962" s="4">
        <f t="shared" si="42"/>
        <v>6</v>
      </c>
      <c r="C962" s="4">
        <f t="shared" si="43"/>
        <v>6</v>
      </c>
      <c r="D962" s="4">
        <f t="shared" si="44"/>
        <v>2023</v>
      </c>
      <c r="E962" s="3">
        <v>45083</v>
      </c>
      <c r="F962" s="4" t="s">
        <v>987</v>
      </c>
      <c r="G962" s="4" t="s">
        <v>16</v>
      </c>
      <c r="H962" s="4" t="str" cm="1">
        <f t="array" ref="H962">_xlfn.IFS(I962&lt;30, "Young Adult", I962&gt;=50, "Senior", I962&gt;=30, "Adult")</f>
        <v>Senior</v>
      </c>
      <c r="I962" s="4">
        <v>53</v>
      </c>
      <c r="J962" s="4" t="s">
        <v>17</v>
      </c>
      <c r="K962" s="4">
        <v>4</v>
      </c>
      <c r="L962" s="5">
        <v>50</v>
      </c>
      <c r="M962" s="5">
        <f>K962 * L962</f>
        <v>200</v>
      </c>
      <c r="N962" s="5">
        <f>M962 * $Q$4</f>
        <v>3</v>
      </c>
      <c r="O962" s="5">
        <f>M962* $Q$5</f>
        <v>4</v>
      </c>
    </row>
    <row r="963" spans="1:15">
      <c r="A963" s="2">
        <v>962</v>
      </c>
      <c r="B963" s="4">
        <f t="shared" ref="B963:B1001" si="45">DAY(E963)</f>
        <v>19</v>
      </c>
      <c r="C963" s="4">
        <f t="shared" ref="C963:C1001" si="46">MONTH(E963)</f>
        <v>10</v>
      </c>
      <c r="D963" s="4">
        <f t="shared" ref="D963:D1001" si="47">YEAR(E963)</f>
        <v>2023</v>
      </c>
      <c r="E963" s="3">
        <v>45218</v>
      </c>
      <c r="F963" s="4" t="s">
        <v>988</v>
      </c>
      <c r="G963" s="4" t="s">
        <v>16</v>
      </c>
      <c r="H963" s="4" t="str" cm="1">
        <f t="array" ref="H963">_xlfn.IFS(I963&lt;30, "Young Adult", I963&gt;=50, "Senior", I963&gt;=30, "Adult")</f>
        <v>Adult</v>
      </c>
      <c r="I963" s="4">
        <v>44</v>
      </c>
      <c r="J963" s="4" t="s">
        <v>20</v>
      </c>
      <c r="K963" s="4">
        <v>2</v>
      </c>
      <c r="L963" s="5">
        <v>30</v>
      </c>
      <c r="M963" s="5">
        <f>K963 * L963</f>
        <v>60</v>
      </c>
      <c r="N963" s="5">
        <f>M963 * $Q$4</f>
        <v>0.89999999999999991</v>
      </c>
      <c r="O963" s="5">
        <f>M963* $Q$5</f>
        <v>1.2</v>
      </c>
    </row>
    <row r="964" spans="1:15">
      <c r="A964" s="2">
        <v>963</v>
      </c>
      <c r="B964" s="4">
        <f t="shared" si="45"/>
        <v>14</v>
      </c>
      <c r="C964" s="4">
        <f t="shared" si="46"/>
        <v>11</v>
      </c>
      <c r="D964" s="4">
        <f t="shared" si="47"/>
        <v>2023</v>
      </c>
      <c r="E964" s="3">
        <v>45244</v>
      </c>
      <c r="F964" s="4" t="s">
        <v>989</v>
      </c>
      <c r="G964" s="4" t="s">
        <v>19</v>
      </c>
      <c r="H964" s="4" t="str" cm="1">
        <f t="array" ref="H964">_xlfn.IFS(I964&lt;30, "Young Adult", I964&gt;=50, "Senior", I964&gt;=30, "Adult")</f>
        <v>Senior</v>
      </c>
      <c r="I964" s="4">
        <v>55</v>
      </c>
      <c r="J964" s="4" t="s">
        <v>17</v>
      </c>
      <c r="K964" s="4">
        <v>1</v>
      </c>
      <c r="L964" s="5">
        <v>50</v>
      </c>
      <c r="M964" s="5">
        <f>K964 * L964</f>
        <v>50</v>
      </c>
      <c r="N964" s="5">
        <f>M964 * $Q$4</f>
        <v>0.75</v>
      </c>
      <c r="O964" s="5">
        <f>M964* $Q$5</f>
        <v>1</v>
      </c>
    </row>
    <row r="965" spans="1:15">
      <c r="A965" s="2">
        <v>964</v>
      </c>
      <c r="B965" s="4">
        <f t="shared" si="45"/>
        <v>31</v>
      </c>
      <c r="C965" s="4">
        <f t="shared" si="46"/>
        <v>1</v>
      </c>
      <c r="D965" s="4">
        <f t="shared" si="47"/>
        <v>2023</v>
      </c>
      <c r="E965" s="3">
        <v>44957</v>
      </c>
      <c r="F965" s="4" t="s">
        <v>990</v>
      </c>
      <c r="G965" s="4" t="s">
        <v>16</v>
      </c>
      <c r="H965" s="4" t="str" cm="1">
        <f t="array" ref="H965">_xlfn.IFS(I965&lt;30, "Young Adult", I965&gt;=50, "Senior", I965&gt;=30, "Adult")</f>
        <v>Young Adult</v>
      </c>
      <c r="I965" s="4">
        <v>24</v>
      </c>
      <c r="J965" s="4" t="s">
        <v>20</v>
      </c>
      <c r="K965" s="4">
        <v>3</v>
      </c>
      <c r="L965" s="5">
        <v>300</v>
      </c>
      <c r="M965" s="5">
        <f>K965 * L965</f>
        <v>900</v>
      </c>
      <c r="N965" s="5">
        <f>M965 * $Q$4</f>
        <v>13.5</v>
      </c>
      <c r="O965" s="5">
        <f>M965* $Q$5</f>
        <v>18</v>
      </c>
    </row>
    <row r="966" spans="1:15">
      <c r="A966" s="2">
        <v>965</v>
      </c>
      <c r="B966" s="4">
        <f t="shared" si="45"/>
        <v>9</v>
      </c>
      <c r="C966" s="4">
        <f t="shared" si="46"/>
        <v>11</v>
      </c>
      <c r="D966" s="4">
        <f t="shared" si="47"/>
        <v>2023</v>
      </c>
      <c r="E966" s="3">
        <v>45239</v>
      </c>
      <c r="F966" s="4" t="s">
        <v>991</v>
      </c>
      <c r="G966" s="4" t="s">
        <v>16</v>
      </c>
      <c r="H966" s="4" t="str" cm="1">
        <f t="array" ref="H966">_xlfn.IFS(I966&lt;30, "Young Adult", I966&gt;=50, "Senior", I966&gt;=30, "Adult")</f>
        <v>Young Adult</v>
      </c>
      <c r="I966" s="4">
        <v>22</v>
      </c>
      <c r="J966" s="4" t="s">
        <v>20</v>
      </c>
      <c r="K966" s="4">
        <v>4</v>
      </c>
      <c r="L966" s="5">
        <v>50</v>
      </c>
      <c r="M966" s="5">
        <f>K966 * L966</f>
        <v>200</v>
      </c>
      <c r="N966" s="5">
        <f>M966 * $Q$4</f>
        <v>3</v>
      </c>
      <c r="O966" s="5">
        <f>M966* $Q$5</f>
        <v>4</v>
      </c>
    </row>
    <row r="967" spans="1:15">
      <c r="A967" s="2">
        <v>966</v>
      </c>
      <c r="B967" s="4">
        <f t="shared" si="45"/>
        <v>20</v>
      </c>
      <c r="C967" s="4">
        <f t="shared" si="46"/>
        <v>2</v>
      </c>
      <c r="D967" s="4">
        <f t="shared" si="47"/>
        <v>2023</v>
      </c>
      <c r="E967" s="3">
        <v>44977</v>
      </c>
      <c r="F967" s="4" t="s">
        <v>992</v>
      </c>
      <c r="G967" s="4" t="s">
        <v>16</v>
      </c>
      <c r="H967" s="4" t="str" cm="1">
        <f t="array" ref="H967">_xlfn.IFS(I967&lt;30, "Young Adult", I967&gt;=50, "Senior", I967&gt;=30, "Adult")</f>
        <v>Senior</v>
      </c>
      <c r="I967" s="4">
        <v>60</v>
      </c>
      <c r="J967" s="4" t="s">
        <v>24</v>
      </c>
      <c r="K967" s="4">
        <v>2</v>
      </c>
      <c r="L967" s="5">
        <v>500</v>
      </c>
      <c r="M967" s="5">
        <f>K967 * L967</f>
        <v>1000</v>
      </c>
      <c r="N967" s="5">
        <f>M967 * $Q$4</f>
        <v>15</v>
      </c>
      <c r="O967" s="5">
        <f>M967* $Q$5</f>
        <v>20</v>
      </c>
    </row>
    <row r="968" spans="1:15">
      <c r="A968" s="2">
        <v>967</v>
      </c>
      <c r="B968" s="4">
        <f t="shared" si="45"/>
        <v>17</v>
      </c>
      <c r="C968" s="4">
        <f t="shared" si="46"/>
        <v>4</v>
      </c>
      <c r="D968" s="4">
        <f t="shared" si="47"/>
        <v>2023</v>
      </c>
      <c r="E968" s="3">
        <v>45033</v>
      </c>
      <c r="F968" s="4" t="s">
        <v>993</v>
      </c>
      <c r="G968" s="4" t="s">
        <v>16</v>
      </c>
      <c r="H968" s="4" t="str" cm="1">
        <f t="array" ref="H968">_xlfn.IFS(I968&lt;30, "Young Adult", I968&gt;=50, "Senior", I968&gt;=30, "Adult")</f>
        <v>Senior</v>
      </c>
      <c r="I968" s="4">
        <v>62</v>
      </c>
      <c r="J968" s="4" t="s">
        <v>17</v>
      </c>
      <c r="K968" s="4">
        <v>1</v>
      </c>
      <c r="L968" s="5">
        <v>25</v>
      </c>
      <c r="M968" s="5">
        <f>K968 * L968</f>
        <v>25</v>
      </c>
      <c r="N968" s="5">
        <f>M968 * $Q$4</f>
        <v>0.375</v>
      </c>
      <c r="O968" s="5">
        <f>M968* $Q$5</f>
        <v>0.5</v>
      </c>
    </row>
    <row r="969" spans="1:15">
      <c r="A969" s="2">
        <v>968</v>
      </c>
      <c r="B969" s="4">
        <f t="shared" si="45"/>
        <v>17</v>
      </c>
      <c r="C969" s="4">
        <f t="shared" si="46"/>
        <v>11</v>
      </c>
      <c r="D969" s="4">
        <f t="shared" si="47"/>
        <v>2023</v>
      </c>
      <c r="E969" s="3">
        <v>45247</v>
      </c>
      <c r="F969" s="4" t="s">
        <v>994</v>
      </c>
      <c r="G969" s="4" t="s">
        <v>19</v>
      </c>
      <c r="H969" s="4" t="str" cm="1">
        <f t="array" ref="H969">_xlfn.IFS(I969&lt;30, "Young Adult", I969&gt;=50, "Senior", I969&gt;=30, "Adult")</f>
        <v>Adult</v>
      </c>
      <c r="I969" s="4">
        <v>48</v>
      </c>
      <c r="J969" s="4" t="s">
        <v>20</v>
      </c>
      <c r="K969" s="4">
        <v>3</v>
      </c>
      <c r="L969" s="5">
        <v>300</v>
      </c>
      <c r="M969" s="5">
        <f>K969 * L969</f>
        <v>900</v>
      </c>
      <c r="N969" s="5">
        <f>M969 * $Q$4</f>
        <v>13.5</v>
      </c>
      <c r="O969" s="5">
        <f>M969* $Q$5</f>
        <v>18</v>
      </c>
    </row>
    <row r="970" spans="1:15">
      <c r="A970" s="2">
        <v>969</v>
      </c>
      <c r="B970" s="4">
        <f t="shared" si="45"/>
        <v>19</v>
      </c>
      <c r="C970" s="4">
        <f t="shared" si="46"/>
        <v>4</v>
      </c>
      <c r="D970" s="4">
        <f t="shared" si="47"/>
        <v>2023</v>
      </c>
      <c r="E970" s="3">
        <v>45035</v>
      </c>
      <c r="F970" s="4" t="s">
        <v>995</v>
      </c>
      <c r="G970" s="4" t="s">
        <v>19</v>
      </c>
      <c r="H970" s="4" t="str" cm="1">
        <f t="array" ref="H970">_xlfn.IFS(I970&lt;30, "Young Adult", I970&gt;=50, "Senior", I970&gt;=30, "Adult")</f>
        <v>Adult</v>
      </c>
      <c r="I970" s="4">
        <v>40</v>
      </c>
      <c r="J970" s="4" t="s">
        <v>20</v>
      </c>
      <c r="K970" s="4">
        <v>3</v>
      </c>
      <c r="L970" s="5">
        <v>300</v>
      </c>
      <c r="M970" s="5">
        <f>K970 * L970</f>
        <v>900</v>
      </c>
      <c r="N970" s="5">
        <f>M970 * $Q$4</f>
        <v>13.5</v>
      </c>
      <c r="O970" s="5">
        <f>M970* $Q$5</f>
        <v>18</v>
      </c>
    </row>
    <row r="971" spans="1:15">
      <c r="A971" s="2">
        <v>970</v>
      </c>
      <c r="B971" s="4">
        <f t="shared" si="45"/>
        <v>16</v>
      </c>
      <c r="C971" s="4">
        <f t="shared" si="46"/>
        <v>5</v>
      </c>
      <c r="D971" s="4">
        <f t="shared" si="47"/>
        <v>2023</v>
      </c>
      <c r="E971" s="3">
        <v>45062</v>
      </c>
      <c r="F971" s="4" t="s">
        <v>996</v>
      </c>
      <c r="G971" s="4" t="s">
        <v>16</v>
      </c>
      <c r="H971" s="4" t="str" cm="1">
        <f t="array" ref="H971">_xlfn.IFS(I971&lt;30, "Young Adult", I971&gt;=50, "Senior", I971&gt;=30, "Adult")</f>
        <v>Senior</v>
      </c>
      <c r="I971" s="4">
        <v>59</v>
      </c>
      <c r="J971" s="4" t="s">
        <v>24</v>
      </c>
      <c r="K971" s="4">
        <v>4</v>
      </c>
      <c r="L971" s="5">
        <v>500</v>
      </c>
      <c r="M971" s="5">
        <f>K971 * L971</f>
        <v>2000</v>
      </c>
      <c r="N971" s="5">
        <f>M971 * $Q$4</f>
        <v>30</v>
      </c>
      <c r="O971" s="5">
        <f>M971* $Q$5</f>
        <v>40</v>
      </c>
    </row>
    <row r="972" spans="1:15">
      <c r="A972" s="2">
        <v>971</v>
      </c>
      <c r="B972" s="4">
        <f t="shared" si="45"/>
        <v>5</v>
      </c>
      <c r="C972" s="4">
        <f t="shared" si="46"/>
        <v>12</v>
      </c>
      <c r="D972" s="4">
        <f t="shared" si="47"/>
        <v>2023</v>
      </c>
      <c r="E972" s="3">
        <v>45265</v>
      </c>
      <c r="F972" s="4" t="s">
        <v>997</v>
      </c>
      <c r="G972" s="4" t="s">
        <v>19</v>
      </c>
      <c r="H972" s="4" t="str" cm="1">
        <f t="array" ref="H972">_xlfn.IFS(I972&lt;30, "Young Adult", I972&gt;=50, "Senior", I972&gt;=30, "Adult")</f>
        <v>Young Adult</v>
      </c>
      <c r="I972" s="4">
        <v>27</v>
      </c>
      <c r="J972" s="4" t="s">
        <v>24</v>
      </c>
      <c r="K972" s="4">
        <v>4</v>
      </c>
      <c r="L972" s="5">
        <v>50</v>
      </c>
      <c r="M972" s="5">
        <f>K972 * L972</f>
        <v>200</v>
      </c>
      <c r="N972" s="5">
        <f>M972 * $Q$4</f>
        <v>3</v>
      </c>
      <c r="O972" s="5">
        <f>M972* $Q$5</f>
        <v>4</v>
      </c>
    </row>
    <row r="973" spans="1:15">
      <c r="A973" s="2">
        <v>972</v>
      </c>
      <c r="B973" s="4">
        <f t="shared" si="45"/>
        <v>11</v>
      </c>
      <c r="C973" s="4">
        <f t="shared" si="46"/>
        <v>2</v>
      </c>
      <c r="D973" s="4">
        <f t="shared" si="47"/>
        <v>2023</v>
      </c>
      <c r="E973" s="3">
        <v>44968</v>
      </c>
      <c r="F973" s="4" t="s">
        <v>998</v>
      </c>
      <c r="G973" s="4" t="s">
        <v>16</v>
      </c>
      <c r="H973" s="4" t="str" cm="1">
        <f t="array" ref="H973">_xlfn.IFS(I973&lt;30, "Young Adult", I973&gt;=50, "Senior", I973&gt;=30, "Adult")</f>
        <v>Adult</v>
      </c>
      <c r="I973" s="4">
        <v>49</v>
      </c>
      <c r="J973" s="4" t="s">
        <v>17</v>
      </c>
      <c r="K973" s="4">
        <v>4</v>
      </c>
      <c r="L973" s="5">
        <v>25</v>
      </c>
      <c r="M973" s="5">
        <f>K973 * L973</f>
        <v>100</v>
      </c>
      <c r="N973" s="5">
        <f>M973 * $Q$4</f>
        <v>1.5</v>
      </c>
      <c r="O973" s="5">
        <f>M973* $Q$5</f>
        <v>2</v>
      </c>
    </row>
    <row r="974" spans="1:15">
      <c r="A974" s="2">
        <v>973</v>
      </c>
      <c r="B974" s="4">
        <f t="shared" si="45"/>
        <v>22</v>
      </c>
      <c r="C974" s="4">
        <f t="shared" si="46"/>
        <v>3</v>
      </c>
      <c r="D974" s="4">
        <f t="shared" si="47"/>
        <v>2023</v>
      </c>
      <c r="E974" s="3">
        <v>45007</v>
      </c>
      <c r="F974" s="4" t="s">
        <v>999</v>
      </c>
      <c r="G974" s="4" t="s">
        <v>16</v>
      </c>
      <c r="H974" s="4" t="str" cm="1">
        <f t="array" ref="H974">_xlfn.IFS(I974&lt;30, "Young Adult", I974&gt;=50, "Senior", I974&gt;=30, "Adult")</f>
        <v>Senior</v>
      </c>
      <c r="I974" s="4">
        <v>60</v>
      </c>
      <c r="J974" s="4" t="s">
        <v>20</v>
      </c>
      <c r="K974" s="4">
        <v>1</v>
      </c>
      <c r="L974" s="5">
        <v>50</v>
      </c>
      <c r="M974" s="5">
        <f>K974 * L974</f>
        <v>50</v>
      </c>
      <c r="N974" s="5">
        <f>M974 * $Q$4</f>
        <v>0.75</v>
      </c>
      <c r="O974" s="5">
        <f>M974* $Q$5</f>
        <v>1</v>
      </c>
    </row>
    <row r="975" spans="1:15">
      <c r="A975" s="2">
        <v>974</v>
      </c>
      <c r="B975" s="4">
        <f t="shared" si="45"/>
        <v>3</v>
      </c>
      <c r="C975" s="4">
        <f t="shared" si="46"/>
        <v>5</v>
      </c>
      <c r="D975" s="4">
        <f t="shared" si="47"/>
        <v>2023</v>
      </c>
      <c r="E975" s="3">
        <v>45049</v>
      </c>
      <c r="F975" s="4" t="s">
        <v>1000</v>
      </c>
      <c r="G975" s="4" t="s">
        <v>16</v>
      </c>
      <c r="H975" s="4" t="str" cm="1">
        <f t="array" ref="H975">_xlfn.IFS(I975&lt;30, "Young Adult", I975&gt;=50, "Senior", I975&gt;=30, "Adult")</f>
        <v>Adult</v>
      </c>
      <c r="I975" s="4">
        <v>47</v>
      </c>
      <c r="J975" s="4" t="s">
        <v>17</v>
      </c>
      <c r="K975" s="4">
        <v>1</v>
      </c>
      <c r="L975" s="5">
        <v>30</v>
      </c>
      <c r="M975" s="5">
        <f>K975 * L975</f>
        <v>30</v>
      </c>
      <c r="N975" s="5">
        <f>M975 * $Q$4</f>
        <v>0.44999999999999996</v>
      </c>
      <c r="O975" s="5">
        <f>M975* $Q$5</f>
        <v>0.6</v>
      </c>
    </row>
    <row r="976" spans="1:15">
      <c r="A976" s="2">
        <v>975</v>
      </c>
      <c r="B976" s="4">
        <f t="shared" si="45"/>
        <v>30</v>
      </c>
      <c r="C976" s="4">
        <f t="shared" si="46"/>
        <v>3</v>
      </c>
      <c r="D976" s="4">
        <f t="shared" si="47"/>
        <v>2023</v>
      </c>
      <c r="E976" s="3">
        <v>45015</v>
      </c>
      <c r="F976" s="4" t="s">
        <v>1001</v>
      </c>
      <c r="G976" s="4" t="s">
        <v>19</v>
      </c>
      <c r="H976" s="4" t="str" cm="1">
        <f t="array" ref="H976">_xlfn.IFS(I976&lt;30, "Young Adult", I976&gt;=50, "Senior", I976&gt;=30, "Adult")</f>
        <v>Senior</v>
      </c>
      <c r="I976" s="4">
        <v>56</v>
      </c>
      <c r="J976" s="4" t="s">
        <v>20</v>
      </c>
      <c r="K976" s="4">
        <v>4</v>
      </c>
      <c r="L976" s="5">
        <v>50</v>
      </c>
      <c r="M976" s="5">
        <f>K976 * L976</f>
        <v>200</v>
      </c>
      <c r="N976" s="5">
        <f>M976 * $Q$4</f>
        <v>3</v>
      </c>
      <c r="O976" s="5">
        <f>M976* $Q$5</f>
        <v>4</v>
      </c>
    </row>
    <row r="977" spans="1:15">
      <c r="A977" s="2">
        <v>976</v>
      </c>
      <c r="B977" s="4">
        <f t="shared" si="45"/>
        <v>10</v>
      </c>
      <c r="C977" s="4">
        <f t="shared" si="46"/>
        <v>10</v>
      </c>
      <c r="D977" s="4">
        <f t="shared" si="47"/>
        <v>2023</v>
      </c>
      <c r="E977" s="3">
        <v>45209</v>
      </c>
      <c r="F977" s="4" t="s">
        <v>1002</v>
      </c>
      <c r="G977" s="4" t="s">
        <v>19</v>
      </c>
      <c r="H977" s="4" t="str" cm="1">
        <f t="array" ref="H977">_xlfn.IFS(I977&lt;30, "Young Adult", I977&gt;=50, "Senior", I977&gt;=30, "Adult")</f>
        <v>Adult</v>
      </c>
      <c r="I977" s="4">
        <v>48</v>
      </c>
      <c r="J977" s="4" t="s">
        <v>17</v>
      </c>
      <c r="K977" s="4">
        <v>2</v>
      </c>
      <c r="L977" s="5">
        <v>300</v>
      </c>
      <c r="M977" s="5">
        <f>K977 * L977</f>
        <v>600</v>
      </c>
      <c r="N977" s="5">
        <f>M977 * $Q$4</f>
        <v>9</v>
      </c>
      <c r="O977" s="5">
        <f>M977* $Q$5</f>
        <v>12</v>
      </c>
    </row>
    <row r="978" spans="1:15">
      <c r="A978" s="2">
        <v>977</v>
      </c>
      <c r="B978" s="4">
        <f t="shared" si="45"/>
        <v>8</v>
      </c>
      <c r="C978" s="4">
        <f t="shared" si="46"/>
        <v>2</v>
      </c>
      <c r="D978" s="4">
        <f t="shared" si="47"/>
        <v>2023</v>
      </c>
      <c r="E978" s="3">
        <v>44965</v>
      </c>
      <c r="F978" s="4" t="s">
        <v>1003</v>
      </c>
      <c r="G978" s="4" t="s">
        <v>19</v>
      </c>
      <c r="H978" s="4" t="str" cm="1">
        <f t="array" ref="H978">_xlfn.IFS(I978&lt;30, "Young Adult", I978&gt;=50, "Senior", I978&gt;=30, "Adult")</f>
        <v>Adult</v>
      </c>
      <c r="I978" s="4">
        <v>35</v>
      </c>
      <c r="J978" s="4" t="s">
        <v>24</v>
      </c>
      <c r="K978" s="4">
        <v>3</v>
      </c>
      <c r="L978" s="5">
        <v>25</v>
      </c>
      <c r="M978" s="5">
        <f>K978 * L978</f>
        <v>75</v>
      </c>
      <c r="N978" s="5">
        <f>M978 * $Q$4</f>
        <v>1.125</v>
      </c>
      <c r="O978" s="5">
        <f>M978* $Q$5</f>
        <v>1.5</v>
      </c>
    </row>
    <row r="979" spans="1:15">
      <c r="A979" s="2">
        <v>978</v>
      </c>
      <c r="B979" s="4">
        <f t="shared" si="45"/>
        <v>22</v>
      </c>
      <c r="C979" s="4">
        <f t="shared" si="46"/>
        <v>3</v>
      </c>
      <c r="D979" s="4">
        <f t="shared" si="47"/>
        <v>2023</v>
      </c>
      <c r="E979" s="3">
        <v>45007</v>
      </c>
      <c r="F979" s="4" t="s">
        <v>1004</v>
      </c>
      <c r="G979" s="4" t="s">
        <v>19</v>
      </c>
      <c r="H979" s="4" t="str" cm="1">
        <f t="array" ref="H979">_xlfn.IFS(I979&lt;30, "Young Adult", I979&gt;=50, "Senior", I979&gt;=30, "Adult")</f>
        <v>Senior</v>
      </c>
      <c r="I979" s="4">
        <v>53</v>
      </c>
      <c r="J979" s="4" t="s">
        <v>20</v>
      </c>
      <c r="K979" s="4">
        <v>3</v>
      </c>
      <c r="L979" s="5">
        <v>50</v>
      </c>
      <c r="M979" s="5">
        <f>K979 * L979</f>
        <v>150</v>
      </c>
      <c r="N979" s="5">
        <f>M979 * $Q$4</f>
        <v>2.25</v>
      </c>
      <c r="O979" s="5">
        <f>M979* $Q$5</f>
        <v>3</v>
      </c>
    </row>
    <row r="980" spans="1:15">
      <c r="A980" s="2">
        <v>979</v>
      </c>
      <c r="B980" s="4">
        <f t="shared" si="45"/>
        <v>2</v>
      </c>
      <c r="C980" s="4">
        <f t="shared" si="46"/>
        <v>1</v>
      </c>
      <c r="D980" s="4">
        <f t="shared" si="47"/>
        <v>2023</v>
      </c>
      <c r="E980" s="3">
        <v>44928</v>
      </c>
      <c r="F980" s="4" t="s">
        <v>1005</v>
      </c>
      <c r="G980" s="4" t="s">
        <v>19</v>
      </c>
      <c r="H980" s="4" t="str" cm="1">
        <f t="array" ref="H980">_xlfn.IFS(I980&lt;30, "Young Adult", I980&gt;=50, "Senior", I980&gt;=30, "Adult")</f>
        <v>Young Adult</v>
      </c>
      <c r="I980" s="4">
        <v>19</v>
      </c>
      <c r="J980" s="4" t="s">
        <v>17</v>
      </c>
      <c r="K980" s="4">
        <v>1</v>
      </c>
      <c r="L980" s="5">
        <v>25</v>
      </c>
      <c r="M980" s="5">
        <f>K980 * L980</f>
        <v>25</v>
      </c>
      <c r="N980" s="5">
        <f>M980 * $Q$4</f>
        <v>0.375</v>
      </c>
      <c r="O980" s="5">
        <f>M980* $Q$5</f>
        <v>0.5</v>
      </c>
    </row>
    <row r="981" spans="1:15">
      <c r="A981" s="2">
        <v>980</v>
      </c>
      <c r="B981" s="4">
        <f t="shared" si="45"/>
        <v>29</v>
      </c>
      <c r="C981" s="4">
        <f t="shared" si="46"/>
        <v>7</v>
      </c>
      <c r="D981" s="4">
        <f t="shared" si="47"/>
        <v>2023</v>
      </c>
      <c r="E981" s="3">
        <v>45136</v>
      </c>
      <c r="F981" s="4" t="s">
        <v>1006</v>
      </c>
      <c r="G981" s="4" t="s">
        <v>19</v>
      </c>
      <c r="H981" s="4" t="str" cm="1">
        <f t="array" ref="H981">_xlfn.IFS(I981&lt;30, "Young Adult", I981&gt;=50, "Senior", I981&gt;=30, "Adult")</f>
        <v>Adult</v>
      </c>
      <c r="I981" s="4">
        <v>31</v>
      </c>
      <c r="J981" s="4" t="s">
        <v>24</v>
      </c>
      <c r="K981" s="4">
        <v>3</v>
      </c>
      <c r="L981" s="5">
        <v>25</v>
      </c>
      <c r="M981" s="5">
        <f>K981 * L981</f>
        <v>75</v>
      </c>
      <c r="N981" s="5">
        <f>M981 * $Q$4</f>
        <v>1.125</v>
      </c>
      <c r="O981" s="5">
        <f>M981* $Q$5</f>
        <v>1.5</v>
      </c>
    </row>
    <row r="982" spans="1:15">
      <c r="A982" s="2">
        <v>981</v>
      </c>
      <c r="B982" s="4">
        <f t="shared" si="45"/>
        <v>19</v>
      </c>
      <c r="C982" s="4">
        <f t="shared" si="46"/>
        <v>8</v>
      </c>
      <c r="D982" s="4">
        <f t="shared" si="47"/>
        <v>2023</v>
      </c>
      <c r="E982" s="3">
        <v>45157</v>
      </c>
      <c r="F982" s="4" t="s">
        <v>1007</v>
      </c>
      <c r="G982" s="4" t="s">
        <v>19</v>
      </c>
      <c r="H982" s="4" t="str" cm="1">
        <f t="array" ref="H982">_xlfn.IFS(I982&lt;30, "Young Adult", I982&gt;=50, "Senior", I982&gt;=30, "Adult")</f>
        <v>Adult</v>
      </c>
      <c r="I982" s="4">
        <v>30</v>
      </c>
      <c r="J982" s="4" t="s">
        <v>24</v>
      </c>
      <c r="K982" s="4">
        <v>2</v>
      </c>
      <c r="L982" s="5">
        <v>30</v>
      </c>
      <c r="M982" s="5">
        <f>K982 * L982</f>
        <v>60</v>
      </c>
      <c r="N982" s="5">
        <f>M982 * $Q$4</f>
        <v>0.89999999999999991</v>
      </c>
      <c r="O982" s="5">
        <f>M982* $Q$5</f>
        <v>1.2</v>
      </c>
    </row>
    <row r="983" spans="1:15">
      <c r="A983" s="2">
        <v>982</v>
      </c>
      <c r="B983" s="4">
        <f t="shared" si="45"/>
        <v>19</v>
      </c>
      <c r="C983" s="4">
        <f t="shared" si="46"/>
        <v>12</v>
      </c>
      <c r="D983" s="4">
        <f t="shared" si="47"/>
        <v>2023</v>
      </c>
      <c r="E983" s="3">
        <v>45279</v>
      </c>
      <c r="F983" s="4" t="s">
        <v>1008</v>
      </c>
      <c r="G983" s="4" t="s">
        <v>19</v>
      </c>
      <c r="H983" s="4" t="str" cm="1">
        <f t="array" ref="H983">_xlfn.IFS(I983&lt;30, "Young Adult", I983&gt;=50, "Senior", I983&gt;=30, "Adult")</f>
        <v>Adult</v>
      </c>
      <c r="I983" s="4">
        <v>46</v>
      </c>
      <c r="J983" s="4" t="s">
        <v>17</v>
      </c>
      <c r="K983" s="4">
        <v>3</v>
      </c>
      <c r="L983" s="5">
        <v>30</v>
      </c>
      <c r="M983" s="5">
        <f>K983 * L983</f>
        <v>90</v>
      </c>
      <c r="N983" s="5">
        <f>M983 * $Q$4</f>
        <v>1.3499999999999999</v>
      </c>
      <c r="O983" s="5">
        <f>M983* $Q$5</f>
        <v>1.8</v>
      </c>
    </row>
    <row r="984" spans="1:15">
      <c r="A984" s="2">
        <v>983</v>
      </c>
      <c r="B984" s="4">
        <f t="shared" si="45"/>
        <v>1</v>
      </c>
      <c r="C984" s="4">
        <f t="shared" si="46"/>
        <v>11</v>
      </c>
      <c r="D984" s="4">
        <f t="shared" si="47"/>
        <v>2023</v>
      </c>
      <c r="E984" s="3">
        <v>45231</v>
      </c>
      <c r="F984" s="4" t="s">
        <v>1009</v>
      </c>
      <c r="G984" s="4" t="s">
        <v>19</v>
      </c>
      <c r="H984" s="4" t="str" cm="1">
        <f t="array" ref="H984">_xlfn.IFS(I984&lt;30, "Young Adult", I984&gt;=50, "Senior", I984&gt;=30, "Adult")</f>
        <v>Young Adult</v>
      </c>
      <c r="I984" s="4">
        <v>29</v>
      </c>
      <c r="J984" s="4" t="s">
        <v>20</v>
      </c>
      <c r="K984" s="4">
        <v>1</v>
      </c>
      <c r="L984" s="5">
        <v>300</v>
      </c>
      <c r="M984" s="5">
        <f>K984 * L984</f>
        <v>300</v>
      </c>
      <c r="N984" s="5">
        <f>M984 * $Q$4</f>
        <v>4.5</v>
      </c>
      <c r="O984" s="5">
        <f>M984* $Q$5</f>
        <v>6</v>
      </c>
    </row>
    <row r="985" spans="1:15">
      <c r="A985" s="2">
        <v>984</v>
      </c>
      <c r="B985" s="4">
        <f t="shared" si="45"/>
        <v>29</v>
      </c>
      <c r="C985" s="4">
        <f t="shared" si="46"/>
        <v>8</v>
      </c>
      <c r="D985" s="4">
        <f t="shared" si="47"/>
        <v>2023</v>
      </c>
      <c r="E985" s="3">
        <v>45167</v>
      </c>
      <c r="F985" s="4" t="s">
        <v>1010</v>
      </c>
      <c r="G985" s="4" t="s">
        <v>16</v>
      </c>
      <c r="H985" s="4" t="str" cm="1">
        <f t="array" ref="H985">_xlfn.IFS(I985&lt;30, "Young Adult", I985&gt;=50, "Senior", I985&gt;=30, "Adult")</f>
        <v>Senior</v>
      </c>
      <c r="I985" s="4">
        <v>56</v>
      </c>
      <c r="J985" s="4" t="s">
        <v>20</v>
      </c>
      <c r="K985" s="4">
        <v>1</v>
      </c>
      <c r="L985" s="5">
        <v>500</v>
      </c>
      <c r="M985" s="5">
        <f>K985 * L985</f>
        <v>500</v>
      </c>
      <c r="N985" s="5">
        <f>M985 * $Q$4</f>
        <v>7.5</v>
      </c>
      <c r="O985" s="5">
        <f>M985* $Q$5</f>
        <v>10</v>
      </c>
    </row>
    <row r="986" spans="1:15">
      <c r="A986" s="2">
        <v>985</v>
      </c>
      <c r="B986" s="4">
        <f t="shared" si="45"/>
        <v>30</v>
      </c>
      <c r="C986" s="4">
        <f t="shared" si="46"/>
        <v>5</v>
      </c>
      <c r="D986" s="4">
        <f t="shared" si="47"/>
        <v>2023</v>
      </c>
      <c r="E986" s="3">
        <v>45076</v>
      </c>
      <c r="F986" s="4" t="s">
        <v>1011</v>
      </c>
      <c r="G986" s="4" t="s">
        <v>19</v>
      </c>
      <c r="H986" s="4" t="str" cm="1">
        <f t="array" ref="H986">_xlfn.IFS(I986&lt;30, "Young Adult", I986&gt;=50, "Senior", I986&gt;=30, "Adult")</f>
        <v>Young Adult</v>
      </c>
      <c r="I986" s="4">
        <v>19</v>
      </c>
      <c r="J986" s="4" t="s">
        <v>24</v>
      </c>
      <c r="K986" s="4">
        <v>2</v>
      </c>
      <c r="L986" s="5">
        <v>25</v>
      </c>
      <c r="M986" s="5">
        <f>K986 * L986</f>
        <v>50</v>
      </c>
      <c r="N986" s="5">
        <f>M986 * $Q$4</f>
        <v>0.75</v>
      </c>
      <c r="O986" s="5">
        <f>M986* $Q$5</f>
        <v>1</v>
      </c>
    </row>
    <row r="987" spans="1:15">
      <c r="A987" s="2">
        <v>986</v>
      </c>
      <c r="B987" s="4">
        <f t="shared" si="45"/>
        <v>17</v>
      </c>
      <c r="C987" s="4">
        <f t="shared" si="46"/>
        <v>1</v>
      </c>
      <c r="D987" s="4">
        <f t="shared" si="47"/>
        <v>2023</v>
      </c>
      <c r="E987" s="3">
        <v>44943</v>
      </c>
      <c r="F987" s="4" t="s">
        <v>1012</v>
      </c>
      <c r="G987" s="4" t="s">
        <v>19</v>
      </c>
      <c r="H987" s="4" t="str" cm="1">
        <f t="array" ref="H987">_xlfn.IFS(I987&lt;30, "Young Adult", I987&gt;=50, "Senior", I987&gt;=30, "Adult")</f>
        <v>Adult</v>
      </c>
      <c r="I987" s="4">
        <v>49</v>
      </c>
      <c r="J987" s="4" t="s">
        <v>20</v>
      </c>
      <c r="K987" s="4">
        <v>2</v>
      </c>
      <c r="L987" s="5">
        <v>500</v>
      </c>
      <c r="M987" s="5">
        <f>K987 * L987</f>
        <v>1000</v>
      </c>
      <c r="N987" s="5">
        <f>M987 * $Q$4</f>
        <v>15</v>
      </c>
      <c r="O987" s="5">
        <f>M987* $Q$5</f>
        <v>20</v>
      </c>
    </row>
    <row r="988" spans="1:15">
      <c r="A988" s="2">
        <v>987</v>
      </c>
      <c r="B988" s="4">
        <f t="shared" si="45"/>
        <v>29</v>
      </c>
      <c r="C988" s="4">
        <f t="shared" si="46"/>
        <v>4</v>
      </c>
      <c r="D988" s="4">
        <f t="shared" si="47"/>
        <v>2023</v>
      </c>
      <c r="E988" s="3">
        <v>45045</v>
      </c>
      <c r="F988" s="4" t="s">
        <v>1013</v>
      </c>
      <c r="G988" s="4" t="s">
        <v>19</v>
      </c>
      <c r="H988" s="4" t="str" cm="1">
        <f t="array" ref="H988">_xlfn.IFS(I988&lt;30, "Young Adult", I988&gt;=50, "Senior", I988&gt;=30, "Adult")</f>
        <v>Adult</v>
      </c>
      <c r="I988" s="4">
        <v>30</v>
      </c>
      <c r="J988" s="4" t="s">
        <v>20</v>
      </c>
      <c r="K988" s="4">
        <v>3</v>
      </c>
      <c r="L988" s="5">
        <v>300</v>
      </c>
      <c r="M988" s="5">
        <f>K988 * L988</f>
        <v>900</v>
      </c>
      <c r="N988" s="5">
        <f>M988 * $Q$4</f>
        <v>13.5</v>
      </c>
      <c r="O988" s="5">
        <f>M988* $Q$5</f>
        <v>18</v>
      </c>
    </row>
    <row r="989" spans="1:15">
      <c r="A989" s="2">
        <v>988</v>
      </c>
      <c r="B989" s="4">
        <f t="shared" si="45"/>
        <v>28</v>
      </c>
      <c r="C989" s="4">
        <f t="shared" si="46"/>
        <v>5</v>
      </c>
      <c r="D989" s="4">
        <f t="shared" si="47"/>
        <v>2023</v>
      </c>
      <c r="E989" s="3">
        <v>45074</v>
      </c>
      <c r="F989" s="4" t="s">
        <v>1014</v>
      </c>
      <c r="G989" s="4" t="s">
        <v>19</v>
      </c>
      <c r="H989" s="4" t="str" cm="1">
        <f t="array" ref="H989">_xlfn.IFS(I989&lt;30, "Young Adult", I989&gt;=50, "Senior", I989&gt;=30, "Adult")</f>
        <v>Senior</v>
      </c>
      <c r="I989" s="4">
        <v>63</v>
      </c>
      <c r="J989" s="4" t="s">
        <v>20</v>
      </c>
      <c r="K989" s="4">
        <v>3</v>
      </c>
      <c r="L989" s="5">
        <v>25</v>
      </c>
      <c r="M989" s="5">
        <f>K989 * L989</f>
        <v>75</v>
      </c>
      <c r="N989" s="5">
        <f>M989 * $Q$4</f>
        <v>1.125</v>
      </c>
      <c r="O989" s="5">
        <f>M989* $Q$5</f>
        <v>1.5</v>
      </c>
    </row>
    <row r="990" spans="1:15">
      <c r="A990" s="2">
        <v>989</v>
      </c>
      <c r="B990" s="4">
        <f t="shared" si="45"/>
        <v>28</v>
      </c>
      <c r="C990" s="4">
        <f t="shared" si="46"/>
        <v>12</v>
      </c>
      <c r="D990" s="4">
        <f t="shared" si="47"/>
        <v>2023</v>
      </c>
      <c r="E990" s="3">
        <v>45288</v>
      </c>
      <c r="F990" s="4" t="s">
        <v>1015</v>
      </c>
      <c r="G990" s="4" t="s">
        <v>19</v>
      </c>
      <c r="H990" s="4" t="str" cm="1">
        <f t="array" ref="H990">_xlfn.IFS(I990&lt;30, "Young Adult", I990&gt;=50, "Senior", I990&gt;=30, "Adult")</f>
        <v>Adult</v>
      </c>
      <c r="I990" s="4">
        <v>44</v>
      </c>
      <c r="J990" s="4" t="s">
        <v>24</v>
      </c>
      <c r="K990" s="4">
        <v>1</v>
      </c>
      <c r="L990" s="5">
        <v>25</v>
      </c>
      <c r="M990" s="5">
        <f>K990 * L990</f>
        <v>25</v>
      </c>
      <c r="N990" s="5">
        <f>M990 * $Q$4</f>
        <v>0.375</v>
      </c>
      <c r="O990" s="5">
        <f>M990* $Q$5</f>
        <v>0.5</v>
      </c>
    </row>
    <row r="991" spans="1:15">
      <c r="A991" s="2">
        <v>990</v>
      </c>
      <c r="B991" s="4">
        <f t="shared" si="45"/>
        <v>25</v>
      </c>
      <c r="C991" s="4">
        <f t="shared" si="46"/>
        <v>5</v>
      </c>
      <c r="D991" s="4">
        <f t="shared" si="47"/>
        <v>2023</v>
      </c>
      <c r="E991" s="3">
        <v>45071</v>
      </c>
      <c r="F991" s="4" t="s">
        <v>1016</v>
      </c>
      <c r="G991" s="4" t="s">
        <v>19</v>
      </c>
      <c r="H991" s="4" t="str" cm="1">
        <f t="array" ref="H991">_xlfn.IFS(I991&lt;30, "Young Adult", I991&gt;=50, "Senior", I991&gt;=30, "Adult")</f>
        <v>Senior</v>
      </c>
      <c r="I991" s="4">
        <v>58</v>
      </c>
      <c r="J991" s="4" t="s">
        <v>17</v>
      </c>
      <c r="K991" s="4">
        <v>2</v>
      </c>
      <c r="L991" s="5">
        <v>500</v>
      </c>
      <c r="M991" s="5">
        <f>K991 * L991</f>
        <v>1000</v>
      </c>
      <c r="N991" s="5">
        <f>M991 * $Q$4</f>
        <v>15</v>
      </c>
      <c r="O991" s="5">
        <f>M991* $Q$5</f>
        <v>20</v>
      </c>
    </row>
    <row r="992" spans="1:15">
      <c r="A992" s="2">
        <v>991</v>
      </c>
      <c r="B992" s="4">
        <f t="shared" si="45"/>
        <v>26</v>
      </c>
      <c r="C992" s="4">
        <f t="shared" si="46"/>
        <v>12</v>
      </c>
      <c r="D992" s="4">
        <f t="shared" si="47"/>
        <v>2023</v>
      </c>
      <c r="E992" s="3">
        <v>45286</v>
      </c>
      <c r="F992" s="4" t="s">
        <v>1017</v>
      </c>
      <c r="G992" s="4" t="s">
        <v>19</v>
      </c>
      <c r="H992" s="4" t="str" cm="1">
        <f t="array" ref="H992">_xlfn.IFS(I992&lt;30, "Young Adult", I992&gt;=50, "Senior", I992&gt;=30, "Adult")</f>
        <v>Adult</v>
      </c>
      <c r="I992" s="4">
        <v>34</v>
      </c>
      <c r="J992" s="4" t="s">
        <v>20</v>
      </c>
      <c r="K992" s="4">
        <v>2</v>
      </c>
      <c r="L992" s="5">
        <v>50</v>
      </c>
      <c r="M992" s="5">
        <f>K992 * L992</f>
        <v>100</v>
      </c>
      <c r="N992" s="5">
        <f>M992 * $Q$4</f>
        <v>1.5</v>
      </c>
      <c r="O992" s="5">
        <f>M992* $Q$5</f>
        <v>2</v>
      </c>
    </row>
    <row r="993" spans="1:15">
      <c r="A993" s="2">
        <v>992</v>
      </c>
      <c r="B993" s="4">
        <f t="shared" si="45"/>
        <v>21</v>
      </c>
      <c r="C993" s="4">
        <f t="shared" si="46"/>
        <v>8</v>
      </c>
      <c r="D993" s="4">
        <f t="shared" si="47"/>
        <v>2023</v>
      </c>
      <c r="E993" s="3">
        <v>45159</v>
      </c>
      <c r="F993" s="4" t="s">
        <v>1018</v>
      </c>
      <c r="G993" s="4" t="s">
        <v>19</v>
      </c>
      <c r="H993" s="4" t="str" cm="1">
        <f t="array" ref="H993">_xlfn.IFS(I993&lt;30, "Young Adult", I993&gt;=50, "Senior", I993&gt;=30, "Adult")</f>
        <v>Senior</v>
      </c>
      <c r="I993" s="4">
        <v>57</v>
      </c>
      <c r="J993" s="4" t="s">
        <v>24</v>
      </c>
      <c r="K993" s="4">
        <v>2</v>
      </c>
      <c r="L993" s="5">
        <v>30</v>
      </c>
      <c r="M993" s="5">
        <f>K993 * L993</f>
        <v>60</v>
      </c>
      <c r="N993" s="5">
        <f>M993 * $Q$4</f>
        <v>0.89999999999999991</v>
      </c>
      <c r="O993" s="5">
        <f>M993* $Q$5</f>
        <v>1.2</v>
      </c>
    </row>
    <row r="994" spans="1:15">
      <c r="A994" s="2">
        <v>993</v>
      </c>
      <c r="B994" s="4">
        <f t="shared" si="45"/>
        <v>6</v>
      </c>
      <c r="C994" s="4">
        <f t="shared" si="46"/>
        <v>2</v>
      </c>
      <c r="D994" s="4">
        <f t="shared" si="47"/>
        <v>2023</v>
      </c>
      <c r="E994" s="3">
        <v>44963</v>
      </c>
      <c r="F994" s="4" t="s">
        <v>1019</v>
      </c>
      <c r="G994" s="4" t="s">
        <v>19</v>
      </c>
      <c r="H994" s="4" t="str" cm="1">
        <f t="array" ref="H994">_xlfn.IFS(I994&lt;30, "Young Adult", I994&gt;=50, "Senior", I994&gt;=30, "Adult")</f>
        <v>Adult</v>
      </c>
      <c r="I994" s="4">
        <v>48</v>
      </c>
      <c r="J994" s="4" t="s">
        <v>24</v>
      </c>
      <c r="K994" s="4">
        <v>3</v>
      </c>
      <c r="L994" s="5">
        <v>50</v>
      </c>
      <c r="M994" s="5">
        <f>K994 * L994</f>
        <v>150</v>
      </c>
      <c r="N994" s="5">
        <f>M994 * $Q$4</f>
        <v>2.25</v>
      </c>
      <c r="O994" s="5">
        <f>M994* $Q$5</f>
        <v>3</v>
      </c>
    </row>
    <row r="995" spans="1:15">
      <c r="A995" s="2">
        <v>994</v>
      </c>
      <c r="B995" s="4">
        <f t="shared" si="45"/>
        <v>18</v>
      </c>
      <c r="C995" s="4">
        <f t="shared" si="46"/>
        <v>12</v>
      </c>
      <c r="D995" s="4">
        <f t="shared" si="47"/>
        <v>2023</v>
      </c>
      <c r="E995" s="3">
        <v>45278</v>
      </c>
      <c r="F995" s="4" t="s">
        <v>1020</v>
      </c>
      <c r="G995" s="4" t="s">
        <v>19</v>
      </c>
      <c r="H995" s="4" t="str" cm="1">
        <f t="array" ref="H995">_xlfn.IFS(I995&lt;30, "Young Adult", I995&gt;=50, "Senior", I995&gt;=30, "Adult")</f>
        <v>Senior</v>
      </c>
      <c r="I995" s="4">
        <v>51</v>
      </c>
      <c r="J995" s="4" t="s">
        <v>17</v>
      </c>
      <c r="K995" s="4">
        <v>2</v>
      </c>
      <c r="L995" s="5">
        <v>500</v>
      </c>
      <c r="M995" s="5">
        <f>K995 * L995</f>
        <v>1000</v>
      </c>
      <c r="N995" s="5">
        <f>M995 * $Q$4</f>
        <v>15</v>
      </c>
      <c r="O995" s="5">
        <f>M995* $Q$5</f>
        <v>20</v>
      </c>
    </row>
    <row r="996" spans="1:15">
      <c r="A996" s="2">
        <v>995</v>
      </c>
      <c r="B996" s="4">
        <f t="shared" si="45"/>
        <v>30</v>
      </c>
      <c r="C996" s="4">
        <f t="shared" si="46"/>
        <v>4</v>
      </c>
      <c r="D996" s="4">
        <f t="shared" si="47"/>
        <v>2023</v>
      </c>
      <c r="E996" s="3">
        <v>45046</v>
      </c>
      <c r="F996" s="4" t="s">
        <v>1021</v>
      </c>
      <c r="G996" s="4" t="s">
        <v>19</v>
      </c>
      <c r="H996" s="4" t="str" cm="1">
        <f t="array" ref="H996">_xlfn.IFS(I996&lt;30, "Young Adult", I996&gt;=50, "Senior", I996&gt;=30, "Adult")</f>
        <v>Adult</v>
      </c>
      <c r="I996" s="4">
        <v>41</v>
      </c>
      <c r="J996" s="4" t="s">
        <v>20</v>
      </c>
      <c r="K996" s="4">
        <v>1</v>
      </c>
      <c r="L996" s="5">
        <v>30</v>
      </c>
      <c r="M996" s="5">
        <f>K996 * L996</f>
        <v>30</v>
      </c>
      <c r="N996" s="5">
        <f>M996 * $Q$4</f>
        <v>0.44999999999999996</v>
      </c>
      <c r="O996" s="5">
        <f>M996* $Q$5</f>
        <v>0.6</v>
      </c>
    </row>
    <row r="997" spans="1:15">
      <c r="A997" s="2">
        <v>996</v>
      </c>
      <c r="B997" s="4">
        <f t="shared" si="45"/>
        <v>16</v>
      </c>
      <c r="C997" s="4">
        <f t="shared" si="46"/>
        <v>5</v>
      </c>
      <c r="D997" s="4">
        <f t="shared" si="47"/>
        <v>2023</v>
      </c>
      <c r="E997" s="3">
        <v>45062</v>
      </c>
      <c r="F997" s="4" t="s">
        <v>1022</v>
      </c>
      <c r="G997" s="4" t="s">
        <v>16</v>
      </c>
      <c r="H997" s="4" t="str" cm="1">
        <f t="array" ref="H997">_xlfn.IFS(I997&lt;30, "Young Adult", I997&gt;=50, "Senior", I997&gt;=30, "Adult")</f>
        <v>Senior</v>
      </c>
      <c r="I997" s="4">
        <v>62</v>
      </c>
      <c r="J997" s="4" t="s">
        <v>20</v>
      </c>
      <c r="K997" s="4">
        <v>1</v>
      </c>
      <c r="L997" s="5">
        <v>50</v>
      </c>
      <c r="M997" s="5">
        <f>K997 * L997</f>
        <v>50</v>
      </c>
      <c r="N997" s="5">
        <f>M997 * $Q$4</f>
        <v>0.75</v>
      </c>
      <c r="O997" s="5">
        <f>M997* $Q$5</f>
        <v>1</v>
      </c>
    </row>
    <row r="998" spans="1:15">
      <c r="A998" s="2">
        <v>997</v>
      </c>
      <c r="B998" s="4">
        <f t="shared" si="45"/>
        <v>17</v>
      </c>
      <c r="C998" s="4">
        <f t="shared" si="46"/>
        <v>11</v>
      </c>
      <c r="D998" s="4">
        <f t="shared" si="47"/>
        <v>2023</v>
      </c>
      <c r="E998" s="3">
        <v>45247</v>
      </c>
      <c r="F998" s="4" t="s">
        <v>1023</v>
      </c>
      <c r="G998" s="4" t="s">
        <v>16</v>
      </c>
      <c r="H998" s="4" t="str" cm="1">
        <f t="array" ref="H998">_xlfn.IFS(I998&lt;30, "Young Adult", I998&gt;=50, "Senior", I998&gt;=30, "Adult")</f>
        <v>Senior</v>
      </c>
      <c r="I998" s="4">
        <v>52</v>
      </c>
      <c r="J998" s="4" t="s">
        <v>17</v>
      </c>
      <c r="K998" s="4">
        <v>3</v>
      </c>
      <c r="L998" s="5">
        <v>30</v>
      </c>
      <c r="M998" s="5">
        <f>K998 * L998</f>
        <v>90</v>
      </c>
      <c r="N998" s="5">
        <f>M998 * $Q$4</f>
        <v>1.3499999999999999</v>
      </c>
      <c r="O998" s="5">
        <f>M998* $Q$5</f>
        <v>1.8</v>
      </c>
    </row>
    <row r="999" spans="1:15">
      <c r="A999" s="2">
        <v>998</v>
      </c>
      <c r="B999" s="4">
        <f t="shared" si="45"/>
        <v>29</v>
      </c>
      <c r="C999" s="4">
        <f t="shared" si="46"/>
        <v>10</v>
      </c>
      <c r="D999" s="4">
        <f t="shared" si="47"/>
        <v>2023</v>
      </c>
      <c r="E999" s="3">
        <v>45228</v>
      </c>
      <c r="F999" s="4" t="s">
        <v>1024</v>
      </c>
      <c r="G999" s="4" t="s">
        <v>19</v>
      </c>
      <c r="H999" s="4" t="str" cm="1">
        <f t="array" ref="H999">_xlfn.IFS(I999&lt;30, "Young Adult", I999&gt;=50, "Senior", I999&gt;=30, "Adult")</f>
        <v>Young Adult</v>
      </c>
      <c r="I999" s="4">
        <v>23</v>
      </c>
      <c r="J999" s="4" t="s">
        <v>17</v>
      </c>
      <c r="K999" s="4">
        <v>4</v>
      </c>
      <c r="L999" s="5">
        <v>25</v>
      </c>
      <c r="M999" s="5">
        <f>K999 * L999</f>
        <v>100</v>
      </c>
      <c r="N999" s="5">
        <f>M999 * $Q$4</f>
        <v>1.5</v>
      </c>
      <c r="O999" s="5">
        <f>M999* $Q$5</f>
        <v>2</v>
      </c>
    </row>
    <row r="1000" spans="1:15">
      <c r="A1000" s="2">
        <v>999</v>
      </c>
      <c r="B1000" s="4">
        <f t="shared" si="45"/>
        <v>5</v>
      </c>
      <c r="C1000" s="4">
        <f t="shared" si="46"/>
        <v>12</v>
      </c>
      <c r="D1000" s="4">
        <f t="shared" si="47"/>
        <v>2023</v>
      </c>
      <c r="E1000" s="3">
        <v>45265</v>
      </c>
      <c r="F1000" s="4" t="s">
        <v>1025</v>
      </c>
      <c r="G1000" s="4" t="s">
        <v>19</v>
      </c>
      <c r="H1000" s="4" t="str" cm="1">
        <f t="array" ref="H1000">_xlfn.IFS(I1000&lt;30, "Young Adult", I1000&gt;=50, "Senior", I1000&gt;=30, "Adult")</f>
        <v>Adult</v>
      </c>
      <c r="I1000" s="4">
        <v>36</v>
      </c>
      <c r="J1000" s="4" t="s">
        <v>24</v>
      </c>
      <c r="K1000" s="4">
        <v>3</v>
      </c>
      <c r="L1000" s="5">
        <v>50</v>
      </c>
      <c r="M1000" s="5">
        <f>K1000 * L1000</f>
        <v>150</v>
      </c>
      <c r="N1000" s="5">
        <f>M1000 * $Q$4</f>
        <v>2.25</v>
      </c>
      <c r="O1000" s="5">
        <f>M1000* $Q$5</f>
        <v>3</v>
      </c>
    </row>
    <row r="1001" spans="1:15">
      <c r="A1001" s="6">
        <v>1000</v>
      </c>
      <c r="B1001" s="4">
        <f t="shared" si="45"/>
        <v>12</v>
      </c>
      <c r="C1001" s="4">
        <f t="shared" si="46"/>
        <v>4</v>
      </c>
      <c r="D1001" s="4">
        <f t="shared" si="47"/>
        <v>2023</v>
      </c>
      <c r="E1001" s="7">
        <v>45028</v>
      </c>
      <c r="F1001" s="8" t="s">
        <v>1026</v>
      </c>
      <c r="G1001" s="8" t="s">
        <v>16</v>
      </c>
      <c r="H1001" s="4" t="str" cm="1">
        <f t="array" ref="H1001">_xlfn.IFS(I1001&lt;30, "Young Adult", I1001&gt;=50, "Senior", I1001&gt;=30, "Adult")</f>
        <v>Adult</v>
      </c>
      <c r="I1001" s="8">
        <v>47</v>
      </c>
      <c r="J1001" s="8" t="s">
        <v>24</v>
      </c>
      <c r="K1001" s="8">
        <v>4</v>
      </c>
      <c r="L1001" s="9">
        <v>30</v>
      </c>
      <c r="M1001" s="9">
        <f>K1001 * L1001</f>
        <v>120</v>
      </c>
      <c r="N1001" s="9">
        <f>M1001 * $Q$4</f>
        <v>1.7999999999999998</v>
      </c>
      <c r="O1001" s="9">
        <f>M1001* $Q$5</f>
        <v>2.4</v>
      </c>
    </row>
  </sheetData>
  <autoFilter ref="A1:Q1001" xr:uid="{00000000-0001-0000-0000-000000000000}">
    <sortState xmlns:xlrd2="http://schemas.microsoft.com/office/spreadsheetml/2017/richdata2" ref="A2:Q1001">
      <sortCondition ref="A1:A1001"/>
    </sortState>
  </autoFilter>
  <mergeCells count="1">
    <mergeCell ref="R9:S9"/>
  </mergeCells>
  <conditionalFormatting sqref="Q10:Q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8BFFD-CB35-3B4D-8F06-F19432CE3ECA}">
  <dimension ref="A1:E14"/>
  <sheetViews>
    <sheetView topLeftCell="A3" workbookViewId="0">
      <selection activeCell="A11" sqref="A11:D14"/>
    </sheetView>
  </sheetViews>
  <sheetFormatPr defaultColWidth="11.25" defaultRowHeight="15.75"/>
  <cols>
    <col min="1" max="1" width="14.5" customWidth="1"/>
    <col min="3" max="3" width="27" customWidth="1"/>
    <col min="4" max="4" width="21.875" customWidth="1"/>
    <col min="5" max="5" width="15.875" customWidth="1"/>
  </cols>
  <sheetData>
    <row r="1" spans="1:5">
      <c r="A1" s="1" t="s">
        <v>0</v>
      </c>
      <c r="B1" s="1" t="s">
        <v>32</v>
      </c>
      <c r="C1" s="1" t="s">
        <v>1027</v>
      </c>
      <c r="D1" t="s">
        <v>1028</v>
      </c>
    </row>
    <row r="2" spans="1:5">
      <c r="A2">
        <v>10</v>
      </c>
      <c r="B2">
        <f>VLOOKUP(A2, retail_sales_dataset!A1:O1001, 13, FALSE)</f>
        <v>200</v>
      </c>
      <c r="C2" t="str" cm="1">
        <f t="array" ref="C2">VLOOKUP(A2, retail_sales_dataset!A1:V1001, COLUMN(retail_sales_dataset!J:J), FALSE)</f>
        <v>Clothing</v>
      </c>
      <c r="D2" t="str">
        <f>CONCATENATE(B2," ",C2)</f>
        <v>200 Clothing</v>
      </c>
    </row>
    <row r="3" spans="1:5">
      <c r="A3">
        <v>15</v>
      </c>
      <c r="B3">
        <f>VLOOKUP(A3, retail_sales_dataset!A2:O1002, 13, FALSE)</f>
        <v>2000</v>
      </c>
      <c r="C3" t="str">
        <f>VLOOKUP(A3, retail_sales_dataset!A2:V1002, 10, FALSE)</f>
        <v>Electronics</v>
      </c>
      <c r="D3" t="str">
        <f t="shared" ref="D3:D10" si="0">CONCATENATE(B3," ",C3)</f>
        <v>2000 Electronics</v>
      </c>
      <c r="E3" s="19"/>
    </row>
    <row r="4" spans="1:5">
      <c r="A4">
        <v>25</v>
      </c>
      <c r="B4">
        <f>VLOOKUP(A4, retail_sales_dataset!A3:O1003, 13, FALSE)</f>
        <v>50</v>
      </c>
      <c r="C4" t="str">
        <f>VLOOKUP(A4, retail_sales_dataset!A3:V1003, 10, FALSE)</f>
        <v>Beauty</v>
      </c>
      <c r="D4" t="str">
        <f t="shared" si="0"/>
        <v>50 Beauty</v>
      </c>
    </row>
    <row r="5" spans="1:5">
      <c r="A5">
        <v>30</v>
      </c>
      <c r="B5">
        <f>VLOOKUP(A5, retail_sales_dataset!A4:O1004, 13, FALSE)</f>
        <v>900</v>
      </c>
      <c r="C5" t="str">
        <f>VLOOKUP(A5, retail_sales_dataset!A4:V1004, 10, FALSE)</f>
        <v>Beauty</v>
      </c>
      <c r="D5" t="str">
        <f t="shared" si="0"/>
        <v>900 Beauty</v>
      </c>
    </row>
    <row r="6" spans="1:5">
      <c r="A6">
        <v>54</v>
      </c>
      <c r="B6">
        <f>VLOOKUP(A6, retail_sales_dataset!A5:O1005, 13, FALSE)</f>
        <v>1500</v>
      </c>
      <c r="C6" t="str">
        <f>VLOOKUP(A6, retail_sales_dataset!A5:V1005, 10, FALSE)</f>
        <v>Electronics</v>
      </c>
      <c r="D6" t="str">
        <f t="shared" si="0"/>
        <v>1500 Electronics</v>
      </c>
    </row>
    <row r="7" spans="1:5">
      <c r="A7">
        <v>55</v>
      </c>
      <c r="B7">
        <f>VLOOKUP(A7, retail_sales_dataset!A6:O1006, 13, FALSE)</f>
        <v>120</v>
      </c>
      <c r="C7" t="str">
        <f>VLOOKUP(A7, retail_sales_dataset!A6:V1006, 10, FALSE)</f>
        <v>Beauty</v>
      </c>
      <c r="D7" t="str">
        <f t="shared" si="0"/>
        <v>120 Beauty</v>
      </c>
    </row>
    <row r="8" spans="1:5">
      <c r="A8">
        <v>67</v>
      </c>
      <c r="B8">
        <f>VLOOKUP(A8, retail_sales_dataset!A7:O1007, 13, FALSE)</f>
        <v>1200</v>
      </c>
      <c r="C8" t="str">
        <f>VLOOKUP(A8, retail_sales_dataset!A7:V1007, 10, FALSE)</f>
        <v>Beauty</v>
      </c>
      <c r="D8" t="str">
        <f t="shared" si="0"/>
        <v>1200 Beauty</v>
      </c>
    </row>
    <row r="9" spans="1:5">
      <c r="A9">
        <v>89</v>
      </c>
      <c r="B9">
        <f>VLOOKUP(A9, retail_sales_dataset!A8:O1008, 13, FALSE)</f>
        <v>2000</v>
      </c>
      <c r="C9" t="str">
        <f>VLOOKUP(A9, retail_sales_dataset!A8:V1008, 10, FALSE)</f>
        <v>Electronics</v>
      </c>
      <c r="D9" t="str">
        <f t="shared" si="0"/>
        <v>2000 Electronics</v>
      </c>
    </row>
    <row r="10" spans="1:5">
      <c r="A10">
        <v>100</v>
      </c>
      <c r="B10">
        <f>VLOOKUP(A10, retail_sales_dataset!A9:O1009, 13, FALSE)</f>
        <v>30</v>
      </c>
      <c r="C10" t="str">
        <f>VLOOKUP(A10, retail_sales_dataset!A9:V1009, 10, FALSE)</f>
        <v>Electronics</v>
      </c>
      <c r="D10" t="str">
        <f t="shared" si="0"/>
        <v>30 Electronics</v>
      </c>
    </row>
    <row r="11" spans="1:5">
      <c r="A11" s="21" t="s">
        <v>1029</v>
      </c>
      <c r="B11" s="21"/>
      <c r="C11" s="21"/>
      <c r="D11" s="21"/>
    </row>
    <row r="12" spans="1:5">
      <c r="A12">
        <f>COUNT(A2:A10)</f>
        <v>9</v>
      </c>
      <c r="B12">
        <f>COUNT(B2:B10)</f>
        <v>9</v>
      </c>
      <c r="C12">
        <f>COUNT(C2:C10)</f>
        <v>0</v>
      </c>
      <c r="D12">
        <f>COUNT(D2:D10)</f>
        <v>0</v>
      </c>
    </row>
    <row r="13" spans="1:5">
      <c r="A13" s="21" t="s">
        <v>1030</v>
      </c>
      <c r="B13" s="21"/>
      <c r="C13" s="21"/>
      <c r="D13" s="21"/>
    </row>
    <row r="14" spans="1:5">
      <c r="A14">
        <f>COUNTA(A2:A10)</f>
        <v>9</v>
      </c>
      <c r="B14">
        <f t="shared" ref="B14:D14" si="1">COUNTA(B2:B10)</f>
        <v>9</v>
      </c>
      <c r="C14">
        <f t="shared" si="1"/>
        <v>9</v>
      </c>
      <c r="D14">
        <f t="shared" si="1"/>
        <v>9</v>
      </c>
    </row>
  </sheetData>
  <mergeCells count="2">
    <mergeCell ref="A11:D11"/>
    <mergeCell ref="A13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65E34-CAB1-4357-816D-378B63FB62E6}">
  <dimension ref="A3:E7"/>
  <sheetViews>
    <sheetView workbookViewId="0">
      <selection activeCell="B6" sqref="B6"/>
    </sheetView>
  </sheetViews>
  <sheetFormatPr defaultRowHeight="15.75"/>
  <cols>
    <col min="1" max="1" width="11.5" bestFit="1" customWidth="1"/>
    <col min="2" max="2" width="18.375" bestFit="1" customWidth="1"/>
    <col min="3" max="3" width="7.875" bestFit="1" customWidth="1"/>
    <col min="4" max="4" width="10" bestFit="1" customWidth="1"/>
    <col min="5" max="5" width="10.75" bestFit="1" customWidth="1"/>
    <col min="6" max="6" width="6.125" bestFit="1" customWidth="1"/>
    <col min="7" max="7" width="12.625" bestFit="1" customWidth="1"/>
    <col min="8" max="8" width="11.625" bestFit="1" customWidth="1"/>
    <col min="9" max="9" width="6.125" bestFit="1" customWidth="1"/>
    <col min="10" max="10" width="14.75" bestFit="1" customWidth="1"/>
    <col min="11" max="11" width="10.75" bestFit="1" customWidth="1"/>
  </cols>
  <sheetData>
    <row r="3" spans="1:5">
      <c r="A3" s="20" t="s">
        <v>1031</v>
      </c>
      <c r="B3" s="20" t="s">
        <v>9</v>
      </c>
    </row>
    <row r="4" spans="1:5">
      <c r="A4" s="20" t="s">
        <v>6</v>
      </c>
      <c r="B4" t="s">
        <v>17</v>
      </c>
      <c r="C4" t="s">
        <v>20</v>
      </c>
      <c r="D4" t="s">
        <v>24</v>
      </c>
      <c r="E4" t="s">
        <v>1032</v>
      </c>
    </row>
    <row r="5" spans="1:5">
      <c r="A5" t="s">
        <v>19</v>
      </c>
      <c r="B5" s="13">
        <v>0.16410087719298247</v>
      </c>
      <c r="C5" s="13">
        <v>0.17823464912280701</v>
      </c>
      <c r="D5" s="13">
        <v>0.16827850877192982</v>
      </c>
      <c r="E5" s="13">
        <v>0.5106140350877193</v>
      </c>
    </row>
    <row r="6" spans="1:5">
      <c r="A6" t="s">
        <v>16</v>
      </c>
      <c r="B6" s="13">
        <v>0.15062500000000001</v>
      </c>
      <c r="C6" s="13">
        <v>0.16294956140350877</v>
      </c>
      <c r="D6" s="13">
        <v>0.17581140350877192</v>
      </c>
      <c r="E6" s="13">
        <v>0.4893859649122807</v>
      </c>
    </row>
    <row r="7" spans="1:5">
      <c r="A7" t="s">
        <v>1032</v>
      </c>
      <c r="B7" s="13">
        <v>0.31472587719298245</v>
      </c>
      <c r="C7" s="13">
        <v>0.34118421052631581</v>
      </c>
      <c r="D7" s="13">
        <v>0.34408991228070174</v>
      </c>
      <c r="E7" s="13">
        <v>1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77BA3-27B4-4F3A-AE68-751BDE410222}">
  <dimension ref="A2:E7"/>
  <sheetViews>
    <sheetView workbookViewId="0">
      <selection activeCell="E4" sqref="E4"/>
    </sheetView>
  </sheetViews>
  <sheetFormatPr defaultRowHeight="15.75"/>
  <cols>
    <col min="1" max="1" width="13.25" bestFit="1" customWidth="1"/>
    <col min="2" max="2" width="18.375" bestFit="1" customWidth="1"/>
    <col min="3" max="3" width="7.875" bestFit="1" customWidth="1"/>
    <col min="4" max="4" width="10" bestFit="1" customWidth="1"/>
    <col min="5" max="5" width="10.75" bestFit="1" customWidth="1"/>
  </cols>
  <sheetData>
    <row r="2" spans="1:5">
      <c r="A2" s="20" t="s">
        <v>1031</v>
      </c>
      <c r="B2" s="20" t="s">
        <v>9</v>
      </c>
    </row>
    <row r="3" spans="1:5">
      <c r="A3" s="20" t="s">
        <v>7</v>
      </c>
      <c r="B3" t="s">
        <v>17</v>
      </c>
      <c r="C3" t="s">
        <v>20</v>
      </c>
      <c r="D3" t="s">
        <v>24</v>
      </c>
      <c r="E3" t="s">
        <v>1032</v>
      </c>
    </row>
    <row r="4" spans="1:5">
      <c r="A4" t="s">
        <v>1033</v>
      </c>
      <c r="B4">
        <v>68030</v>
      </c>
      <c r="C4">
        <v>62360</v>
      </c>
      <c r="D4">
        <v>59300</v>
      </c>
      <c r="E4">
        <v>189690</v>
      </c>
    </row>
    <row r="5" spans="1:5">
      <c r="A5" t="s">
        <v>1034</v>
      </c>
      <c r="B5">
        <v>34085</v>
      </c>
      <c r="C5">
        <v>47070</v>
      </c>
      <c r="D5">
        <v>62000</v>
      </c>
      <c r="E5">
        <v>143155</v>
      </c>
    </row>
    <row r="6" spans="1:5">
      <c r="A6" t="s">
        <v>1035</v>
      </c>
      <c r="B6">
        <v>41400</v>
      </c>
      <c r="C6">
        <v>46150</v>
      </c>
      <c r="D6">
        <v>35605</v>
      </c>
      <c r="E6">
        <v>123155</v>
      </c>
    </row>
    <row r="7" spans="1:5">
      <c r="A7" t="s">
        <v>1032</v>
      </c>
      <c r="B7">
        <v>143515</v>
      </c>
      <c r="C7">
        <v>155580</v>
      </c>
      <c r="D7">
        <v>156905</v>
      </c>
      <c r="E7">
        <v>456000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BCDC2FE0E4F449937FF70B5FB3C2F1" ma:contentTypeVersion="11" ma:contentTypeDescription="Create a new document." ma:contentTypeScope="" ma:versionID="8bd66c17915bcf1def49971ef4dbe543">
  <xsd:schema xmlns:xsd="http://www.w3.org/2001/XMLSchema" xmlns:xs="http://www.w3.org/2001/XMLSchema" xmlns:p="http://schemas.microsoft.com/office/2006/metadata/properties" xmlns:ns2="6811f146-5ece-457c-a6bc-0ea6518a3e0a" xmlns:ns3="bd9411a3-9751-47b5-b7bd-64927d0cbedd" targetNamespace="http://schemas.microsoft.com/office/2006/metadata/properties" ma:root="true" ma:fieldsID="844f74ba7afc03df612f37649430b354" ns2:_="" ns3:_="">
    <xsd:import namespace="6811f146-5ece-457c-a6bc-0ea6518a3e0a"/>
    <xsd:import namespace="bd9411a3-9751-47b5-b7bd-64927d0cbed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11f146-5ece-457c-a6bc-0ea6518a3e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6e2f221-faf5-4ac5-b3d1-90a6d47e69f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9411a3-9751-47b5-b7bd-64927d0cbed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a21aac50-ce4e-408f-8348-5cd22f7c988b}" ma:internalName="TaxCatchAll" ma:showField="CatchAllData" ma:web="bd9411a3-9751-47b5-b7bd-64927d0cbed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d9411a3-9751-47b5-b7bd-64927d0cbedd" xsi:nil="true"/>
    <lcf76f155ced4ddcb4097134ff3c332f xmlns="6811f146-5ece-457c-a6bc-0ea6518a3e0a">
      <Terms xmlns="http://schemas.microsoft.com/office/infopath/2007/PartnerControls"/>
    </lcf76f155ced4ddcb4097134ff3c332f>
  </documentManagement>
</p:properties>
</file>

<file path=customXml/item19.xml>�� 
</file>

<file path=customXml/itemProps1.xml><?xml version="1.0" encoding="utf-8"?>
<ds:datastoreItem xmlns:ds="http://schemas.openxmlformats.org/officeDocument/2006/customXml" ds:itemID="{0ECF1352-6F0C-4E7B-8AFB-2EA761E69D98}"/>
</file>

<file path=customXml/itemProps2.xml><?xml version="1.0" encoding="utf-8"?>
<ds:datastoreItem xmlns:ds="http://schemas.openxmlformats.org/officeDocument/2006/customXml" ds:itemID="{F3FC67AD-3FED-4CBD-913A-F41EAEA1F89F}"/>
</file>

<file path=customXml/itemProps3.xml><?xml version="1.0" encoding="utf-8"?>
<ds:datastoreItem xmlns:ds="http://schemas.openxmlformats.org/officeDocument/2006/customXml" ds:itemID="{B0863CD4-1E7A-4D88-A05C-62E37A52A464}"/>
</file>

<file path=customXml/itemProps4.xml><?xml version="1.0" encoding="utf-8"?>
<ds:datastoreItem xmlns:ds="http://schemas.openxmlformats.org/officeDocument/2006/customXml" ds:itemID="{15575EC4-E142-4B68-9BA1-7D9F83EA5067}"/>
</file>

<file path=customXml/itemProps5.xml><?xml version="1.0" encoding="utf-8"?>
<ds:datastoreItem xmlns:ds="http://schemas.openxmlformats.org/officeDocument/2006/customXml" ds:itemID="{3E8CB0BE-C4BA-4913-9C77-CD4B1441093A}"/>
</file>

<file path=customXml/itemProps6.xml><?xml version="1.0" encoding="utf-8"?>
<ds:datastoreItem xmlns:ds="http://schemas.openxmlformats.org/officeDocument/2006/customXml" ds:itemID="{6A238311-EE1E-4F00-870C-F1577541CA78}"/>
</file>

<file path=customXml/itemProps7.xml><?xml version="1.0" encoding="utf-8"?>
<ds:datastoreItem xmlns:ds="http://schemas.openxmlformats.org/officeDocument/2006/customXml" ds:itemID="{06D295F5-8058-4546-A127-35DC9120150C}"/>
</file>

<file path=customXml/itemProps8.xml><?xml version="1.0" encoding="utf-8"?>
<ds:datastoreItem xmlns:ds="http://schemas.openxmlformats.org/officeDocument/2006/customXml" ds:itemID="{A85E162B-7A50-4957-AE78-A5F153441C86}"/>
</file>

<file path=customXml/itemProps9.xml><?xml version="1.0" encoding="utf-8"?>
<ds:datastoreItem xmlns:ds="http://schemas.openxmlformats.org/officeDocument/2006/customXml" ds:itemID="{E2D36A1E-236C-4E19-9955-D6B07E5D30B7}"/>
</file>

<file path=customXml/itemProps10.xml><?xml version="1.0" encoding="utf-8"?>
<ds:datastoreItem xmlns:ds="http://schemas.openxmlformats.org/officeDocument/2006/customXml" ds:itemID="{A4B88D49-EA58-47E5-AA07-36D60BC9149C}"/>
</file>

<file path=customXml/itemProps11.xml><?xml version="1.0" encoding="utf-8"?>
<ds:datastoreItem xmlns:ds="http://schemas.openxmlformats.org/officeDocument/2006/customXml" ds:itemID="{FE6DF61C-7ABD-44B9-B769-8F2899BB81F7}"/>
</file>

<file path=customXml/itemProps12.xml><?xml version="1.0" encoding="utf-8"?>
<ds:datastoreItem xmlns:ds="http://schemas.openxmlformats.org/officeDocument/2006/customXml" ds:itemID="{6DA07CEC-807D-4764-A388-A6BBED7640E0}"/>
</file>

<file path=customXml/itemProps13.xml><?xml version="1.0" encoding="utf-8"?>
<ds:datastoreItem xmlns:ds="http://schemas.openxmlformats.org/officeDocument/2006/customXml" ds:itemID="{19C66761-A138-4D29-95EB-4CF018C84C81}"/>
</file>

<file path=customXml/itemProps14.xml><?xml version="1.0" encoding="utf-8"?>
<ds:datastoreItem xmlns:ds="http://schemas.openxmlformats.org/officeDocument/2006/customXml" ds:itemID="{8B7F014E-65B1-48DD-A1AF-A79E02398FCF}"/>
</file>

<file path=customXml/itemProps15.xml><?xml version="1.0" encoding="utf-8"?>
<ds:datastoreItem xmlns:ds="http://schemas.openxmlformats.org/officeDocument/2006/customXml" ds:itemID="{DD9334D5-6C08-4A46-AD2C-FA9BF6D4670C}"/>
</file>

<file path=customXml/itemProps16.xml><?xml version="1.0" encoding="utf-8"?>
<ds:datastoreItem xmlns:ds="http://schemas.openxmlformats.org/officeDocument/2006/customXml" ds:itemID="{B46F128A-B7FE-46C0-9B9B-600600B1B28E}"/>
</file>

<file path=customXml/itemProps17.xml><?xml version="1.0" encoding="utf-8"?>
<ds:datastoreItem xmlns:ds="http://schemas.openxmlformats.org/officeDocument/2006/customXml" ds:itemID="{82F3FFA2-A909-498D-9BC6-33DF5B99923B}"/>
</file>

<file path=customXml/itemProps18.xml><?xml version="1.0" encoding="utf-8"?>
<ds:datastoreItem xmlns:ds="http://schemas.openxmlformats.org/officeDocument/2006/customXml" ds:itemID="{E643224C-1CC4-4A7F-A567-22ECFBDF619E}"/>
</file>

<file path=customXml/itemProps19.xml><?xml version="1.0" encoding="utf-8"?>
<ds:datastoreItem xmlns:ds="http://schemas.openxmlformats.org/officeDocument/2006/customXml" ds:itemID="{09B95C5D-16BB-4BEF-B316-6D3A8C9DD8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Jessica Benkaroun</dc:creator>
  <cp:keywords/>
  <dc:description/>
  <cp:lastModifiedBy>Yusuf Satilmis</cp:lastModifiedBy>
  <cp:revision/>
  <dcterms:created xsi:type="dcterms:W3CDTF">2024-01-05T15:03:52Z</dcterms:created>
  <dcterms:modified xsi:type="dcterms:W3CDTF">2026-02-05T11:53:26Z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0x010100BDBCDC2FE0E4F449937FF70B5FB3C2F1</vt:lpwstr>
  </property>
  <property fmtid="{D5CDD505-2E9C-101B-9397-08002B2CF9AE}" pid="3" name="Order">
    <vt:r8>700</vt:r8>
  </property>
  <property fmtid="{D5CDD505-2E9C-101B-9397-08002B2CF9AE}" pid="4" name="MediaServiceImageTags">
    <vt:lpwstr/>
  </property>
</Properties>
</file>